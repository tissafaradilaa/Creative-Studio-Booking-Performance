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iara\Downloads\"/>
    </mc:Choice>
  </mc:AlternateContent>
  <xr:revisionPtr revIDLastSave="0" documentId="13_ncr:1_{ACF8C57B-BCB6-4CDD-A7DE-F0C8B1B7BD23}" xr6:coauthVersionLast="47" xr6:coauthVersionMax="47" xr10:uidLastSave="{00000000-0000-0000-0000-000000000000}"/>
  <bookViews>
    <workbookView xWindow="9510" yWindow="0" windowWidth="9780" windowHeight="10170" activeTab="1" xr2:uid="{00000000-000D-0000-FFFF-FFFF00000000}"/>
  </bookViews>
  <sheets>
    <sheet name="Raw Data" sheetId="1" r:id="rId1"/>
    <sheet name="Clean Data" sheetId="4" r:id="rId2"/>
    <sheet name="Project Brief" sheetId="2" r:id="rId3"/>
    <sheet name="Cleaning Guide" sheetId="3" r:id="rId4"/>
  </sheets>
  <definedNames>
    <definedName name="_xlnm._FilterDatabase" localSheetId="1" hidden="1">'Clean Data'!$A$1:$R$1</definedName>
    <definedName name="_xlnm._FilterDatabase" localSheetId="0" hidden="1">'Raw Data'!$A$1:$AA$321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1" l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2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2" i="1"/>
  <c r="M2" i="1" a="1"/>
  <c r="J2" i="1" a="1"/>
  <c r="H2" i="1" a="1"/>
  <c r="E2" i="1" a="1"/>
  <c r="AD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<sst xmlns="http://schemas.openxmlformats.org/spreadsheetml/2006/main" count="7395" uniqueCount="552">
  <si>
    <t>Booking ID</t>
  </si>
  <si>
    <t>Booking Date</t>
  </si>
  <si>
    <t>City</t>
  </si>
  <si>
    <t>Studio Room</t>
  </si>
  <si>
    <t>Service Type</t>
  </si>
  <si>
    <t>Booking Channel</t>
  </si>
  <si>
    <t>Customer Segment</t>
  </si>
  <si>
    <t>Duration (Hours)</t>
  </si>
  <si>
    <t>Equipment Package</t>
  </si>
  <si>
    <t>Subtotal</t>
  </si>
  <si>
    <t>Discount Amount</t>
  </si>
  <si>
    <t>Final Revenue</t>
  </si>
  <si>
    <t>Payment Method</t>
  </si>
  <si>
    <t>Booking Status</t>
  </si>
  <si>
    <t>Satisfaction Score</t>
  </si>
  <si>
    <t>Cancellation Reason</t>
  </si>
  <si>
    <t>Assigned Staff</t>
  </si>
  <si>
    <t>Notes</t>
  </si>
  <si>
    <t>BK-0001</t>
  </si>
  <si>
    <t>jakarta</t>
  </si>
  <si>
    <t>Audio Booth A</t>
  </si>
  <si>
    <t>Content Batch</t>
  </si>
  <si>
    <t>WhatsApp</t>
  </si>
  <si>
    <t>UMKM</t>
  </si>
  <si>
    <t>Standard</t>
  </si>
  <si>
    <t>Transfer</t>
  </si>
  <si>
    <t>Cancelled</t>
  </si>
  <si>
    <t>Citra</t>
  </si>
  <si>
    <t>BK-0002</t>
  </si>
  <si>
    <t xml:space="preserve"> Bandung </t>
  </si>
  <si>
    <t>Photo Cyclorama</t>
  </si>
  <si>
    <t>Product Photoshoot</t>
  </si>
  <si>
    <t>Add-on Lighting</t>
  </si>
  <si>
    <t>Virtual Account</t>
  </si>
  <si>
    <t>Completed</t>
  </si>
  <si>
    <t>Invoice dikirim</t>
  </si>
  <si>
    <t>BK-0003</t>
  </si>
  <si>
    <t>Bandung</t>
  </si>
  <si>
    <t>Podcast Recording</t>
  </si>
  <si>
    <t>Website</t>
  </si>
  <si>
    <t>Agency</t>
  </si>
  <si>
    <t>Add-on Mic</t>
  </si>
  <si>
    <t>E-Wallet</t>
  </si>
  <si>
    <t>Dimas</t>
  </si>
  <si>
    <t>BK-0004</t>
  </si>
  <si>
    <t>Malang</t>
  </si>
  <si>
    <t>Video Podcast Room</t>
  </si>
  <si>
    <t>Creator</t>
  </si>
  <si>
    <t>Eka</t>
  </si>
  <si>
    <t>Butuh file rekaman</t>
  </si>
  <si>
    <t>BK-0005</t>
  </si>
  <si>
    <t>4</t>
  </si>
  <si>
    <t>BK-0006</t>
  </si>
  <si>
    <t>Surabaya</t>
  </si>
  <si>
    <t>Referral</t>
  </si>
  <si>
    <t>Premium</t>
  </si>
  <si>
    <t>Pending</t>
  </si>
  <si>
    <t>BK-0007</t>
  </si>
  <si>
    <t>Jakarta</t>
  </si>
  <si>
    <t>Green Screen Room</t>
  </si>
  <si>
    <t>Bima</t>
  </si>
  <si>
    <t>BK-0008</t>
  </si>
  <si>
    <t>09/06/2025</t>
  </si>
  <si>
    <t>YOGYAKARTA</t>
  </si>
  <si>
    <t>LIVE STREAMING</t>
  </si>
  <si>
    <t>marketplace</t>
  </si>
  <si>
    <t>Student</t>
  </si>
  <si>
    <t>BK-0009</t>
  </si>
  <si>
    <t>2025-12-09</t>
  </si>
  <si>
    <t>Yogyakarta</t>
  </si>
  <si>
    <t>VOICE OVER</t>
  </si>
  <si>
    <t>Corporate</t>
  </si>
  <si>
    <t>Alya</t>
  </si>
  <si>
    <t>BK-0010</t>
  </si>
  <si>
    <t>referral</t>
  </si>
  <si>
    <t>BK-0011</t>
  </si>
  <si>
    <t>31/01/2025</t>
  </si>
  <si>
    <t>BANDUNG</t>
  </si>
  <si>
    <t>Cash</t>
  </si>
  <si>
    <t>BK-0012</t>
  </si>
  <si>
    <t>Live Streaming Room</t>
  </si>
  <si>
    <t>BK-0013</t>
  </si>
  <si>
    <t>BK-0014</t>
  </si>
  <si>
    <t>2025-12-08</t>
  </si>
  <si>
    <t>Instagram</t>
  </si>
  <si>
    <t>Budget issue</t>
  </si>
  <si>
    <t>BK-0015</t>
  </si>
  <si>
    <t>video podcast</t>
  </si>
  <si>
    <t>1</t>
  </si>
  <si>
    <t>BK-0016</t>
  </si>
  <si>
    <t>Voice Over</t>
  </si>
  <si>
    <t>BK-0017</t>
  </si>
  <si>
    <t>whatsapp</t>
  </si>
  <si>
    <t>BK-0018</t>
  </si>
  <si>
    <t>Repeat customer</t>
  </si>
  <si>
    <t>BK-0019</t>
  </si>
  <si>
    <t>Client datang terlambat</t>
  </si>
  <si>
    <t>BK-0020</t>
  </si>
  <si>
    <t>BK-0021</t>
  </si>
  <si>
    <t>Live Streaming</t>
  </si>
  <si>
    <t>BK-0022</t>
  </si>
  <si>
    <t>BK-0023</t>
  </si>
  <si>
    <t>BK-0024</t>
  </si>
  <si>
    <t>Video Podcast</t>
  </si>
  <si>
    <t>2</t>
  </si>
  <si>
    <t>BK-0025</t>
  </si>
  <si>
    <t>2025-08-25</t>
  </si>
  <si>
    <t>PRODUCT PHOTOSHOOT</t>
  </si>
  <si>
    <t>BK-0026</t>
  </si>
  <si>
    <t>BK-0027</t>
  </si>
  <si>
    <t>BK-0028</t>
  </si>
  <si>
    <t>2025-12-29</t>
  </si>
  <si>
    <t>Marketplace</t>
  </si>
  <si>
    <t>BK-0029</t>
  </si>
  <si>
    <t>BK-0030</t>
  </si>
  <si>
    <t>BK-0031</t>
  </si>
  <si>
    <t>VIDEO PODCAST</t>
  </si>
  <si>
    <t>BK-0032</t>
  </si>
  <si>
    <t>BK-0033</t>
  </si>
  <si>
    <t>CONTENT BATCH</t>
  </si>
  <si>
    <t>BK-0034</t>
  </si>
  <si>
    <t>BK-0035</t>
  </si>
  <si>
    <t>BK-0036</t>
  </si>
  <si>
    <t>yogyakarta</t>
  </si>
  <si>
    <t>3</t>
  </si>
  <si>
    <t>BK-0037</t>
  </si>
  <si>
    <t>31/07/2025</t>
  </si>
  <si>
    <t>BK-0038</t>
  </si>
  <si>
    <t>BK-0039</t>
  </si>
  <si>
    <t>BK-0040</t>
  </si>
  <si>
    <t>28/12/2025</t>
  </si>
  <si>
    <t>BK-0041</t>
  </si>
  <si>
    <t>BK-0042</t>
  </si>
  <si>
    <t>BK-0043</t>
  </si>
  <si>
    <t>2025-05-28</t>
  </si>
  <si>
    <t>BK-0044</t>
  </si>
  <si>
    <t>BK-0045</t>
  </si>
  <si>
    <t>06/07/2025</t>
  </si>
  <si>
    <t>BK-0046</t>
  </si>
  <si>
    <t>BK-0047</t>
  </si>
  <si>
    <t>BK-0048</t>
  </si>
  <si>
    <t>2025-07-28</t>
  </si>
  <si>
    <t>surabaya</t>
  </si>
  <si>
    <t>BK-0049</t>
  </si>
  <si>
    <t>BK-0050</t>
  </si>
  <si>
    <t>BK-0051</t>
  </si>
  <si>
    <t>BK-0052</t>
  </si>
  <si>
    <t>02/12/2025</t>
  </si>
  <si>
    <t>BK-0053</t>
  </si>
  <si>
    <t>12/10/2025</t>
  </si>
  <si>
    <t>BK-0054</t>
  </si>
  <si>
    <t>voice over</t>
  </si>
  <si>
    <t>BK-0055</t>
  </si>
  <si>
    <t>live streaming</t>
  </si>
  <si>
    <t>BK-0056</t>
  </si>
  <si>
    <t>JAKARTA</t>
  </si>
  <si>
    <t>BK-0057</t>
  </si>
  <si>
    <t>31/03/2025</t>
  </si>
  <si>
    <t>BK-0058</t>
  </si>
  <si>
    <t>BK-0059</t>
  </si>
  <si>
    <t>BK-0060</t>
  </si>
  <si>
    <t>BK-0061</t>
  </si>
  <si>
    <t>MALANG</t>
  </si>
  <si>
    <t>BK-0062</t>
  </si>
  <si>
    <t>2025-12-14</t>
  </si>
  <si>
    <t>BK-0063</t>
  </si>
  <si>
    <t>BK-0064</t>
  </si>
  <si>
    <t>No response</t>
  </si>
  <si>
    <t>BK-0065</t>
  </si>
  <si>
    <t>BK-0066</t>
  </si>
  <si>
    <t>BK-0067</t>
  </si>
  <si>
    <t>BK-0068</t>
  </si>
  <si>
    <t>BK-0069</t>
  </si>
  <si>
    <t>BK-0070</t>
  </si>
  <si>
    <t>02/02/2025</t>
  </si>
  <si>
    <t>BK-0071</t>
  </si>
  <si>
    <t>2025-08-12</t>
  </si>
  <si>
    <t>BK-0072</t>
  </si>
  <si>
    <t>bandung</t>
  </si>
  <si>
    <t>BK-0073</t>
  </si>
  <si>
    <t>18/01/2025</t>
  </si>
  <si>
    <t>BK-0074</t>
  </si>
  <si>
    <t>product photoshoot</t>
  </si>
  <si>
    <t>Technical issue</t>
  </si>
  <si>
    <t>BK-0075</t>
  </si>
  <si>
    <t>BK-0076</t>
  </si>
  <si>
    <t>BK-0077</t>
  </si>
  <si>
    <t>BK-0078</t>
  </si>
  <si>
    <t>BK-0079</t>
  </si>
  <si>
    <t>BK-0080</t>
  </si>
  <si>
    <t>BK-0081</t>
  </si>
  <si>
    <t>BK-0082</t>
  </si>
  <si>
    <t>BK-0083</t>
  </si>
  <si>
    <t>BK-0084</t>
  </si>
  <si>
    <t>23/10/2025</t>
  </si>
  <si>
    <t>BK-0085</t>
  </si>
  <si>
    <t>BK-0086</t>
  </si>
  <si>
    <t>BK-0087</t>
  </si>
  <si>
    <t>19/05/2025</t>
  </si>
  <si>
    <t>malang</t>
  </si>
  <si>
    <t>BK-0088</t>
  </si>
  <si>
    <t>BK-0089</t>
  </si>
  <si>
    <t>BK-0090</t>
  </si>
  <si>
    <t>BK-0091</t>
  </si>
  <si>
    <t>BK-0092</t>
  </si>
  <si>
    <t>2025-12-15</t>
  </si>
  <si>
    <t>BK-0093</t>
  </si>
  <si>
    <t>09/03/2025</t>
  </si>
  <si>
    <t>BK-0094</t>
  </si>
  <si>
    <t>BK-0095</t>
  </si>
  <si>
    <t>BK-0096</t>
  </si>
  <si>
    <t>BK-0097</t>
  </si>
  <si>
    <t>BK-0098</t>
  </si>
  <si>
    <t>29/09/2025</t>
  </si>
  <si>
    <t>BK-0099</t>
  </si>
  <si>
    <t>BK-0100</t>
  </si>
  <si>
    <t>BK-0101</t>
  </si>
  <si>
    <t>BK-0102</t>
  </si>
  <si>
    <t xml:space="preserve"> Malang </t>
  </si>
  <si>
    <t>BK-0103</t>
  </si>
  <si>
    <t>BK-0104</t>
  </si>
  <si>
    <t xml:space="preserve"> Yogyakarta </t>
  </si>
  <si>
    <t>content batch</t>
  </si>
  <si>
    <t>BK-0105</t>
  </si>
  <si>
    <t>2025-01-09</t>
  </si>
  <si>
    <t>BK-0106</t>
  </si>
  <si>
    <t>11/11/2025</t>
  </si>
  <si>
    <t>BK-0107</t>
  </si>
  <si>
    <t>19/07/2025</t>
  </si>
  <si>
    <t>PODCAST RECORDING</t>
  </si>
  <si>
    <t>BK-0108</t>
  </si>
  <si>
    <t>BK-0109</t>
  </si>
  <si>
    <t>BK-0110</t>
  </si>
  <si>
    <t>BK-0111</t>
  </si>
  <si>
    <t>BK-0112</t>
  </si>
  <si>
    <t>BK-0113</t>
  </si>
  <si>
    <t>13/01/2025</t>
  </si>
  <si>
    <t>BK-0114</t>
  </si>
  <si>
    <t>BK-0115</t>
  </si>
  <si>
    <t>BK-0116</t>
  </si>
  <si>
    <t>BK-0117</t>
  </si>
  <si>
    <t>BK-0118</t>
  </si>
  <si>
    <t>BK-0119</t>
  </si>
  <si>
    <t>BK-0120</t>
  </si>
  <si>
    <t>BK-0121</t>
  </si>
  <si>
    <t>BK-0122</t>
  </si>
  <si>
    <t>BK-0123</t>
  </si>
  <si>
    <t>10/07/2025</t>
  </si>
  <si>
    <t>BK-0124</t>
  </si>
  <si>
    <t>BK-0125</t>
  </si>
  <si>
    <t>18/12/2025</t>
  </si>
  <si>
    <t>BK-0126</t>
  </si>
  <si>
    <t>BK-0127</t>
  </si>
  <si>
    <t>07/02/2025</t>
  </si>
  <si>
    <t>BK-0128</t>
  </si>
  <si>
    <t>02/10/2025</t>
  </si>
  <si>
    <t>SURABAYA</t>
  </si>
  <si>
    <t>BK-0129</t>
  </si>
  <si>
    <t>27/06/2025</t>
  </si>
  <si>
    <t>Schedule conflict</t>
  </si>
  <si>
    <t>BK-0130</t>
  </si>
  <si>
    <t>BK-0131</t>
  </si>
  <si>
    <t>BK-0132</t>
  </si>
  <si>
    <t>BK-0133</t>
  </si>
  <si>
    <t>BK-0134</t>
  </si>
  <si>
    <t>BK-0135</t>
  </si>
  <si>
    <t>27/12/2025</t>
  </si>
  <si>
    <t>BK-0136</t>
  </si>
  <si>
    <t>BK-0137</t>
  </si>
  <si>
    <t>10/08/2025</t>
  </si>
  <si>
    <t>BK-0138</t>
  </si>
  <si>
    <t>BK-0139</t>
  </si>
  <si>
    <t>BK-0140</t>
  </si>
  <si>
    <t>2025-09-10</t>
  </si>
  <si>
    <t>BK-0141</t>
  </si>
  <si>
    <t>BK-0142</t>
  </si>
  <si>
    <t>BK-0143</t>
  </si>
  <si>
    <t>BK-0144</t>
  </si>
  <si>
    <t>BK-0145</t>
  </si>
  <si>
    <t>BK-0146</t>
  </si>
  <si>
    <t>BK-0147</t>
  </si>
  <si>
    <t>BK-0148</t>
  </si>
  <si>
    <t>BK-0149</t>
  </si>
  <si>
    <t>BK-0150</t>
  </si>
  <si>
    <t>BK-0151</t>
  </si>
  <si>
    <t>2025-04-27</t>
  </si>
  <si>
    <t>BK-0152</t>
  </si>
  <si>
    <t>BK-0153</t>
  </si>
  <si>
    <t>2025-03-25</t>
  </si>
  <si>
    <t>BK-0154</t>
  </si>
  <si>
    <t>BK-0155</t>
  </si>
  <si>
    <t>BK-0156</t>
  </si>
  <si>
    <t>BK-0157</t>
  </si>
  <si>
    <t>14/10/2025</t>
  </si>
  <si>
    <t>BK-0158</t>
  </si>
  <si>
    <t>BK-0159</t>
  </si>
  <si>
    <t>BK-0160</t>
  </si>
  <si>
    <t>BK-0161</t>
  </si>
  <si>
    <t>2025-01-10</t>
  </si>
  <si>
    <t>BK-0162</t>
  </si>
  <si>
    <t>BK-0163</t>
  </si>
  <si>
    <t>BK-0164</t>
  </si>
  <si>
    <t>21/02/2025</t>
  </si>
  <si>
    <t>BK-0165</t>
  </si>
  <si>
    <t>BK-0166</t>
  </si>
  <si>
    <t>BK-0167</t>
  </si>
  <si>
    <t>BK-0168</t>
  </si>
  <si>
    <t>BK-0169</t>
  </si>
  <si>
    <t>BK-0170</t>
  </si>
  <si>
    <t>BK-0171</t>
  </si>
  <si>
    <t>BK-0172</t>
  </si>
  <si>
    <t>BK-0173</t>
  </si>
  <si>
    <t>BK-0174</t>
  </si>
  <si>
    <t>instagram</t>
  </si>
  <si>
    <t>BK-0175</t>
  </si>
  <si>
    <t>28/01/2025</t>
  </si>
  <si>
    <t>BK-0176</t>
  </si>
  <si>
    <t>BK-0177</t>
  </si>
  <si>
    <t>BK-0178</t>
  </si>
  <si>
    <t>BK-0179</t>
  </si>
  <si>
    <t>website</t>
  </si>
  <si>
    <t>BK-0180</t>
  </si>
  <si>
    <t>28/07/2025</t>
  </si>
  <si>
    <t>BK-0181</t>
  </si>
  <si>
    <t>BK-0182</t>
  </si>
  <si>
    <t>BK-0183</t>
  </si>
  <si>
    <t>BK-0184</t>
  </si>
  <si>
    <t>2025-08-08</t>
  </si>
  <si>
    <t>BK-0185</t>
  </si>
  <si>
    <t>BK-0186</t>
  </si>
  <si>
    <t>2025-09-14</t>
  </si>
  <si>
    <t>BK-0187</t>
  </si>
  <si>
    <t>BK-0188</t>
  </si>
  <si>
    <t>22/09/2025</t>
  </si>
  <si>
    <t>BK-0189</t>
  </si>
  <si>
    <t>01/08/2025</t>
  </si>
  <si>
    <t>BK-0190</t>
  </si>
  <si>
    <t>BK-0191</t>
  </si>
  <si>
    <t>BK-0192</t>
  </si>
  <si>
    <t>BK-0193</t>
  </si>
  <si>
    <t>BK-0194</t>
  </si>
  <si>
    <t>BK-0195</t>
  </si>
  <si>
    <t>BK-0196</t>
  </si>
  <si>
    <t>03/11/2025</t>
  </si>
  <si>
    <t>BK-0197</t>
  </si>
  <si>
    <t>BK-0198</t>
  </si>
  <si>
    <t>BK-0199</t>
  </si>
  <si>
    <t>BK-0200</t>
  </si>
  <si>
    <t>13/12/2025</t>
  </si>
  <si>
    <t>BK-0201</t>
  </si>
  <si>
    <t>BK-0202</t>
  </si>
  <si>
    <t>2025-04-18</t>
  </si>
  <si>
    <t>BK-0203</t>
  </si>
  <si>
    <t>BK-0204</t>
  </si>
  <si>
    <t>BK-0205</t>
  </si>
  <si>
    <t>10/02/2025</t>
  </si>
  <si>
    <t>BK-0206</t>
  </si>
  <si>
    <t>podcast recording</t>
  </si>
  <si>
    <t>BK-0207</t>
  </si>
  <si>
    <t>BK-0208</t>
  </si>
  <si>
    <t>BK-0209</t>
  </si>
  <si>
    <t>BK-0210</t>
  </si>
  <si>
    <t>BK-0211</t>
  </si>
  <si>
    <t>30/04/2025</t>
  </si>
  <si>
    <t>BK-0212</t>
  </si>
  <si>
    <t>BK-0213</t>
  </si>
  <si>
    <t>BK-0214</t>
  </si>
  <si>
    <t>BK-0215</t>
  </si>
  <si>
    <t>03/07/2025</t>
  </si>
  <si>
    <t>BK-0216</t>
  </si>
  <si>
    <t>BK-0217</t>
  </si>
  <si>
    <t>BK-0218</t>
  </si>
  <si>
    <t>BK-0219</t>
  </si>
  <si>
    <t>BK-0220</t>
  </si>
  <si>
    <t>21/11/2025</t>
  </si>
  <si>
    <t>BK-0221</t>
  </si>
  <si>
    <t>BK-0222</t>
  </si>
  <si>
    <t>BK-0223</t>
  </si>
  <si>
    <t>BK-0224</t>
  </si>
  <si>
    <t>BK-0225</t>
  </si>
  <si>
    <t xml:space="preserve"> Surabaya </t>
  </si>
  <si>
    <t>BK-0226</t>
  </si>
  <si>
    <t>BK-0227</t>
  </si>
  <si>
    <t>BK-0228</t>
  </si>
  <si>
    <t>BK-0229</t>
  </si>
  <si>
    <t>BK-0230</t>
  </si>
  <si>
    <t>BK-0231</t>
  </si>
  <si>
    <t>BK-0232</t>
  </si>
  <si>
    <t>BK-0233</t>
  </si>
  <si>
    <t>BK-0234</t>
  </si>
  <si>
    <t>27/05/2025</t>
  </si>
  <si>
    <t>BK-0235</t>
  </si>
  <si>
    <t>21/08/2025</t>
  </si>
  <si>
    <t>BK-0236</t>
  </si>
  <si>
    <t>21/06/2025</t>
  </si>
  <si>
    <t>BK-0237</t>
  </si>
  <si>
    <t>2025-11-08</t>
  </si>
  <si>
    <t>BK-0238</t>
  </si>
  <si>
    <t>BK-0239</t>
  </si>
  <si>
    <t>BK-0240</t>
  </si>
  <si>
    <t>BK-0241</t>
  </si>
  <si>
    <t>BK-0242</t>
  </si>
  <si>
    <t>2025-11-18</t>
  </si>
  <si>
    <t>BK-0243</t>
  </si>
  <si>
    <t>BK-0244</t>
  </si>
  <si>
    <t>BK-0245</t>
  </si>
  <si>
    <t>BK-0246</t>
  </si>
  <si>
    <t>BK-0247</t>
  </si>
  <si>
    <t>24/02/2025</t>
  </si>
  <si>
    <t>BK-0248</t>
  </si>
  <si>
    <t>BK-0249</t>
  </si>
  <si>
    <t>BK-0250</t>
  </si>
  <si>
    <t>BK-0251</t>
  </si>
  <si>
    <t>BK-0252</t>
  </si>
  <si>
    <t>BK-0253</t>
  </si>
  <si>
    <t>BK-0254</t>
  </si>
  <si>
    <t>BK-0255</t>
  </si>
  <si>
    <t>BK-0256</t>
  </si>
  <si>
    <t>BK-0257</t>
  </si>
  <si>
    <t>14/01/2025</t>
  </si>
  <si>
    <t>BK-0258</t>
  </si>
  <si>
    <t>BK-0259</t>
  </si>
  <si>
    <t>BK-0260</t>
  </si>
  <si>
    <t>2025-08-10</t>
  </si>
  <si>
    <t>BK-0261</t>
  </si>
  <si>
    <t>BK-0262</t>
  </si>
  <si>
    <t>BK-0263</t>
  </si>
  <si>
    <t>02/04/2025</t>
  </si>
  <si>
    <t>BK-0264</t>
  </si>
  <si>
    <t>12/09/2025</t>
  </si>
  <si>
    <t>BK-0265</t>
  </si>
  <si>
    <t>BK-0266</t>
  </si>
  <si>
    <t>13/02/2025</t>
  </si>
  <si>
    <t>BK-0267</t>
  </si>
  <si>
    <t>2025-07-27</t>
  </si>
  <si>
    <t>BK-0268</t>
  </si>
  <si>
    <t>BK-0269</t>
  </si>
  <si>
    <t>BK-0270</t>
  </si>
  <si>
    <t>BK-0271</t>
  </si>
  <si>
    <t>BK-0272</t>
  </si>
  <si>
    <t>2025-01-23</t>
  </si>
  <si>
    <t>BK-0273</t>
  </si>
  <si>
    <t>2025-04-23</t>
  </si>
  <si>
    <t>BK-0274</t>
  </si>
  <si>
    <t>BK-0275</t>
  </si>
  <si>
    <t>30/10/2025</t>
  </si>
  <si>
    <t>BK-0276</t>
  </si>
  <si>
    <t>BK-0277</t>
  </si>
  <si>
    <t>BK-0278</t>
  </si>
  <si>
    <t>BK-0279</t>
  </si>
  <si>
    <t>BK-0280</t>
  </si>
  <si>
    <t xml:space="preserve"> Jakarta </t>
  </si>
  <si>
    <t>BK-0281</t>
  </si>
  <si>
    <t>2025-02-02</t>
  </si>
  <si>
    <t>BK-0282</t>
  </si>
  <si>
    <t>BK-0283</t>
  </si>
  <si>
    <t>BK-0284</t>
  </si>
  <si>
    <t>BK-0285</t>
  </si>
  <si>
    <t>21/07/2025</t>
  </si>
  <si>
    <t>BK-0286</t>
  </si>
  <si>
    <t>BK-0287</t>
  </si>
  <si>
    <t>12/03/2025</t>
  </si>
  <si>
    <t>BK-0288</t>
  </si>
  <si>
    <t>2025-09-09</t>
  </si>
  <si>
    <t>BK-0289</t>
  </si>
  <si>
    <t>BK-0290</t>
  </si>
  <si>
    <t>BK-0291</t>
  </si>
  <si>
    <t>BK-0292</t>
  </si>
  <si>
    <t>19/12/2025</t>
  </si>
  <si>
    <t>BK-0293</t>
  </si>
  <si>
    <t>BK-0294</t>
  </si>
  <si>
    <t>BK-0295</t>
  </si>
  <si>
    <t>BK-0296</t>
  </si>
  <si>
    <t>BK-0297</t>
  </si>
  <si>
    <t>BK-0298</t>
  </si>
  <si>
    <t>2025-09-13</t>
  </si>
  <si>
    <t>BK-0299</t>
  </si>
  <si>
    <t>BK-0300</t>
  </si>
  <si>
    <t>BK-0301</t>
  </si>
  <si>
    <t>BK-0302</t>
  </si>
  <si>
    <t>15/06/2025</t>
  </si>
  <si>
    <t>BK-0303</t>
  </si>
  <si>
    <t>BK-0304</t>
  </si>
  <si>
    <t>BK-0305</t>
  </si>
  <si>
    <t>BK-0306</t>
  </si>
  <si>
    <t>BK-0307</t>
  </si>
  <si>
    <t>2025-09-26</t>
  </si>
  <si>
    <t>BK-0308</t>
  </si>
  <si>
    <t>BK-0309</t>
  </si>
  <si>
    <t>BK-0310</t>
  </si>
  <si>
    <t>BK-0311</t>
  </si>
  <si>
    <t>13/04/2025</t>
  </si>
  <si>
    <t>BK-0312</t>
  </si>
  <si>
    <t>BK-0313</t>
  </si>
  <si>
    <t>BK-0314</t>
  </si>
  <si>
    <t>19/08/2025</t>
  </si>
  <si>
    <t>BK-0315</t>
  </si>
  <si>
    <t>BK-0316</t>
  </si>
  <si>
    <t>BK-0317</t>
  </si>
  <si>
    <t>BK-0318</t>
  </si>
  <si>
    <t>BK-0319</t>
  </si>
  <si>
    <t>BK-0320</t>
  </si>
  <si>
    <t>PROJECT</t>
  </si>
  <si>
    <t>Creative Studio Booking Performance</t>
  </si>
  <si>
    <t>Business Context</t>
  </si>
  <si>
    <t>Analisis pemesanan studio podcast/kreatif dan pendapatan operasional.</t>
  </si>
  <si>
    <t>Main Goal</t>
  </si>
  <si>
    <t>Membuat dashboard Power BI/Tableau untuk memahami revenue, booking, pembatalan, dan channel.</t>
  </si>
  <si>
    <t>Suggested KPIs</t>
  </si>
  <si>
    <t>Total Revenue; Total Bookings; Completed Bookings; Cancellation Rate; Total Booked Hours; Average Booking Value; Average Satisfaction</t>
  </si>
  <si>
    <t>Suggested Visuals</t>
  </si>
  <si>
    <t>Revenue by Studio Room; Revenue Trend by Month; Bookings by Channel; Cancellation by Reason; Booked Hours by City; Revenue by Customer Segment; Satisfaction by Service Type</t>
  </si>
  <si>
    <t>Suggested Filters</t>
  </si>
  <si>
    <t>Booking Date; City; Studio Room; Service Type; Booking Channel; Customer Segment; Booking Status</t>
  </si>
  <si>
    <t>Business Questions</t>
  </si>
  <si>
    <t>Studio mana yang menghasilkan revenue terbesar? Channel mana yang paling banyak membawa booking? Bulan apa paling ramai? Berapa cancellation rate per channel?</t>
  </si>
  <si>
    <t>Column</t>
  </si>
  <si>
    <t>What to check</t>
  </si>
  <si>
    <t>Expected treatment</t>
  </si>
  <si>
    <t>Duplicate IDs</t>
  </si>
  <si>
    <t>Investigate duplicates; do not delete automatically.</t>
  </si>
  <si>
    <t>Mixed date formats</t>
  </si>
  <si>
    <t>Convert to true Excel date.</t>
  </si>
  <si>
    <t>City / Service Type / Booking Channel</t>
  </si>
  <si>
    <t>Capitalization and extra spaces</t>
  </si>
  <si>
    <t>Use TRIM + PROPER or mapping.</t>
  </si>
  <si>
    <t>Some values are text</t>
  </si>
  <si>
    <t>Convert to numeric.</t>
  </si>
  <si>
    <t>Some values include Rp and commas</t>
  </si>
  <si>
    <t>Convert to numeric currency.</t>
  </si>
  <si>
    <t>Missing values</t>
  </si>
  <si>
    <t>Label as Unknown or investigate.</t>
  </si>
  <si>
    <t>Completed/Pending/Cancelled</t>
  </si>
  <si>
    <t>Use status for KPI filtering.</t>
  </si>
  <si>
    <t>Missing scores</t>
  </si>
  <si>
    <t>Keep blank; do not assume a score.</t>
  </si>
  <si>
    <t>Relevant only for cancelled bookings</t>
  </si>
  <si>
    <t>Check blanks against Booking Status.</t>
  </si>
  <si>
    <t>Clean City</t>
  </si>
  <si>
    <t>Clean Service Type</t>
  </si>
  <si>
    <t>Clean Booking Channel</t>
  </si>
  <si>
    <t>Clean Duration (Hours)</t>
  </si>
  <si>
    <t>Clean Final Revenue</t>
  </si>
  <si>
    <t>DUPLICATE CHECK</t>
  </si>
  <si>
    <t>Clean Booking Date</t>
  </si>
  <si>
    <t>Clean Payment Method</t>
  </si>
  <si>
    <t>Clean Satisfaction Score</t>
  </si>
  <si>
    <t>Clean Cancellation Reason</t>
  </si>
  <si>
    <t xml:space="preserve">Booking ID </t>
  </si>
  <si>
    <t>Whatsapp</t>
  </si>
  <si>
    <t/>
  </si>
  <si>
    <t>Not Provided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</si>
</sst>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:mm:ss"/>
    <numFmt numFmtId="167" formatCode="_-[$Rp-421]* #,##0.00_-;\-[$Rp-421]* #,##0.00_-;_-[$Rp-421]* &quot;-&quot;??_-;_-@_-"/>
    <numFmt numFmtId="171" formatCode="dd/mm/yyyy;@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1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4" borderId="0" xfId="0" applyFont="1" applyFill="1" applyAlignment="1">
      <alignment vertical="top" wrapText="1"/>
    </xf>
    <xf numFmtId="0" fontId="3" fillId="2" borderId="0" xfId="0" applyFont="1" applyFill="1" applyAlignment="1">
      <alignment horizontal="center"/>
    </xf>
    <xf numFmtId="167" fontId="0" fillId="0" borderId="0" xfId="0" applyNumberFormat="1"/>
    <xf numFmtId="14" fontId="0" fillId="0" borderId="0" xfId="0" applyNumberFormat="1"/>
    <xf numFmtId="171" fontId="0" fillId="0" borderId="0" xfId="0" applyNumberFormat="1"/>
    <xf numFmtId="0" fontId="2" fillId="5" borderId="0" xfId="0" applyFont="1" applyFill="1"/>
    <xf numFmtId="1" fontId="2" fillId="5" borderId="0" xfId="0" applyNumberFormat="1" applyFont="1" applyFill="1"/>
    <xf numFmtId="1" fontId="0" fillId="0" borderId="0" xfId="0" applyNumberFormat="1"/>
  </cellXfs>
  <cellStyles count="1">
    <cellStyle name="Normal" xfId="0" builtinId="0"/>
  </cellStyles>
  <dxfs count="6"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</dxf>
    <dxf>
      <numFmt numFmtId="167" formatCode="_-[$Rp-421]* #,##0.00_-;\-[$Rp-421]* #,##0.00_-;_-[$Rp-421]* &quot;-&quot;??_-;_-@_-"/>
    </dxf>
    <dxf>
      <numFmt numFmtId="167" formatCode="_-[$Rp-421]* #,##0.00_-;\-[$Rp-421]* #,##0.00_-;_-[$Rp-421]* &quot;-&quot;??_-;_-@_-"/>
    </dxf>
    <dxf>
      <numFmt numFmtId="167" formatCode="_-[$Rp-421]* #,##0.00_-;\-[$Rp-421]* #,##0.00_-;_-[$Rp-421]* &quot;-&quot;??_-;_-@_-"/>
    </dxf>
    <dxf>
      <numFmt numFmtId="171" formatCode="dd/mm/yyyy;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F7A10F-9BA2-4DAE-ABFC-7901C84334CA}" name="tb1_CreativeStudio" displayName="tb1_CreativeStudio" ref="A1:R321" totalsRowShown="0" headerRowDxfId="1">
  <autoFilter ref="A1:R321" xr:uid="{BCF7A10F-9BA2-4DAE-ABFC-7901C84334CA}"/>
  <tableColumns count="18">
    <tableColumn id="1" xr3:uid="{B44B379B-9975-45B4-B21D-92F82BAAA496}" name="Booking ID "/>
    <tableColumn id="2" xr3:uid="{EFCA577A-23BE-476F-B880-8D0FABB39B71}" name="Booking Date" dataDxfId="5"/>
    <tableColumn id="3" xr3:uid="{8C6B5225-F222-4B56-8EDD-DB07AC6AAFA7}" name="City"/>
    <tableColumn id="4" xr3:uid="{88E18431-13B3-4710-A566-B4C0879F660C}" name="Studio Room"/>
    <tableColumn id="5" xr3:uid="{9B57E85F-3F6A-4174-A203-9799AFCBB003}" name="Service Type"/>
    <tableColumn id="6" xr3:uid="{AE89A58B-0B90-4EEF-92CE-BC9123E563E4}" name="Booking Channel"/>
    <tableColumn id="7" xr3:uid="{B3FE04D7-41E4-410F-A349-5C67516E6041}" name="Customer Segment"/>
    <tableColumn id="8" xr3:uid="{3F33126F-E564-4941-98B4-FBB11FD5D3B7}" name="Duration (Hours)" dataDxfId="0"/>
    <tableColumn id="9" xr3:uid="{879F8E3F-6C37-4D57-B80E-569F919C9F68}" name="Equipment Package"/>
    <tableColumn id="10" xr3:uid="{B74FFA28-FD37-4A2B-B887-7E1AE3C0F451}" name="Subtotal" dataDxfId="4"/>
    <tableColumn id="11" xr3:uid="{1C082526-D805-466B-A1A4-03D1A6C098F6}" name="Discount Amount" dataDxfId="3"/>
    <tableColumn id="12" xr3:uid="{AE90E797-85BB-47E3-82BD-77FEDCC5C6AA}" name="Final Revenue" dataDxfId="2"/>
    <tableColumn id="13" xr3:uid="{F551D38D-1CAA-48F8-8B7F-FDC2C69E14D8}" name="Payment Method"/>
    <tableColumn id="14" xr3:uid="{FB05E46F-9F55-488A-A20D-98138DDFFB56}" name="Booking Status"/>
    <tableColumn id="15" xr3:uid="{AEFDC582-C999-47D8-924A-5632D7B31F15}" name="Satisfaction Score"/>
    <tableColumn id="16" xr3:uid="{59620129-D8AF-4F46-9AAD-FB7D0E2424D2}" name="Cancellation Reason"/>
    <tableColumn id="17" xr3:uid="{E6EE8736-B304-4088-BD0A-40B4F67EFB2C}" name="Assigned Staff"/>
    <tableColumn id="18" xr3:uid="{77CF6BDD-EFDF-4490-AF1B-A9A9DCE31CE4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21"/>
  <sheetViews>
    <sheetView topLeftCell="Y1" workbookViewId="0">
      <pane ySplit="1" topLeftCell="A321" activePane="bottomLeft" state="frozen"/>
      <selection pane="bottomLeft" activeCell="AA2" sqref="AA2:AA321"/>
    </sheetView>
  </sheetViews>
  <sheetFormatPr defaultRowHeight="14.5" x14ac:dyDescent="0.35"/>
  <cols>
    <col min="1" max="1" width="14.36328125" bestFit="1" customWidth="1"/>
    <col min="2" max="2" width="16.7265625" bestFit="1" customWidth="1"/>
    <col min="3" max="3" width="16.7265625" customWidth="1"/>
    <col min="4" max="4" width="12.08984375" bestFit="1" customWidth="1"/>
    <col min="5" max="5" width="12.08984375" customWidth="1"/>
    <col min="6" max="6" width="18.36328125" bestFit="1" customWidth="1"/>
    <col min="7" max="7" width="21.54296875" bestFit="1" customWidth="1"/>
    <col min="8" max="8" width="21.54296875" customWidth="1"/>
    <col min="9" max="9" width="19.453125" bestFit="1" customWidth="1"/>
    <col min="10" max="10" width="24.6328125" bestFit="1" customWidth="1"/>
    <col min="11" max="11" width="21.36328125" bestFit="1" customWidth="1"/>
    <col min="12" max="12" width="19.6328125" bestFit="1" customWidth="1"/>
    <col min="13" max="13" width="24.81640625" bestFit="1" customWidth="1"/>
    <col min="14" max="14" width="22" bestFit="1" customWidth="1"/>
    <col min="15" max="15" width="14.81640625" bestFit="1" customWidth="1"/>
    <col min="16" max="16" width="20.08984375" bestFit="1" customWidth="1"/>
    <col min="17" max="17" width="16.90625" bestFit="1" customWidth="1"/>
    <col min="18" max="18" width="22.1796875" bestFit="1" customWidth="1"/>
    <col min="19" max="19" width="20.08984375" bestFit="1" customWidth="1"/>
    <col min="20" max="20" width="25.26953125" bestFit="1" customWidth="1"/>
    <col min="21" max="21" width="17.90625" bestFit="1" customWidth="1"/>
    <col min="22" max="22" width="20.1796875" bestFit="1" customWidth="1"/>
    <col min="23" max="23" width="25.36328125" bestFit="1" customWidth="1"/>
    <col min="24" max="24" width="22.36328125" bestFit="1" customWidth="1"/>
    <col min="25" max="25" width="27.54296875" bestFit="1" customWidth="1"/>
    <col min="26" max="26" width="17.08984375" bestFit="1" customWidth="1"/>
    <col min="27" max="27" width="20.54296875" bestFit="1" customWidth="1"/>
    <col min="29" max="29" width="16.1796875" bestFit="1" customWidth="1"/>
  </cols>
  <sheetData>
    <row r="1" spans="1:30" x14ac:dyDescent="0.35">
      <c r="A1" s="1" t="s">
        <v>0</v>
      </c>
      <c r="B1" s="1" t="s">
        <v>1</v>
      </c>
      <c r="C1" s="6" t="s">
        <v>544</v>
      </c>
      <c r="D1" s="1" t="s">
        <v>2</v>
      </c>
      <c r="E1" s="6" t="s">
        <v>538</v>
      </c>
      <c r="F1" s="1" t="s">
        <v>3</v>
      </c>
      <c r="G1" s="1" t="s">
        <v>4</v>
      </c>
      <c r="H1" s="6" t="s">
        <v>539</v>
      </c>
      <c r="I1" s="1" t="s">
        <v>5</v>
      </c>
      <c r="J1" s="6" t="s">
        <v>540</v>
      </c>
      <c r="K1" s="1" t="s">
        <v>6</v>
      </c>
      <c r="L1" s="1" t="s">
        <v>7</v>
      </c>
      <c r="M1" s="6" t="s">
        <v>541</v>
      </c>
      <c r="N1" s="1" t="s">
        <v>8</v>
      </c>
      <c r="O1" s="1" t="s">
        <v>9</v>
      </c>
      <c r="P1" s="1" t="s">
        <v>10</v>
      </c>
      <c r="Q1" s="1" t="s">
        <v>11</v>
      </c>
      <c r="R1" s="6" t="s">
        <v>542</v>
      </c>
      <c r="S1" s="1" t="s">
        <v>12</v>
      </c>
      <c r="T1" s="6" t="s">
        <v>545</v>
      </c>
      <c r="U1" s="1" t="s">
        <v>13</v>
      </c>
      <c r="V1" s="1" t="s">
        <v>14</v>
      </c>
      <c r="W1" s="6" t="s">
        <v>546</v>
      </c>
      <c r="X1" s="1" t="s">
        <v>15</v>
      </c>
      <c r="Y1" s="6" t="s">
        <v>547</v>
      </c>
      <c r="Z1" s="1" t="s">
        <v>16</v>
      </c>
      <c r="AA1" s="1" t="s">
        <v>17</v>
      </c>
      <c r="AC1" s="6" t="s">
        <v>543</v>
      </c>
    </row>
    <row r="2" spans="1:30" x14ac:dyDescent="0.35">
      <c r="A2" t="s">
        <v>18</v>
      </c>
      <c r="B2" s="2">
        <v>45985</v>
      </c>
      <c r="C2" s="9">
        <f>IF(B2="","",IF(ISNUMBER(B2),INT(B2),IF(ISNUMBER(DATEVALUE(B2)),DATEVALUE(B2),"")))</f>
        <v>45985</v>
      </c>
      <c r="D2" t="s">
        <v>19</v>
      </c>
      <c r="E2" t="str" cm="1">
        <f t="array" ref="E2:E321">PROPER(TRIM(D2:D321))</f>
        <v>Jakarta</v>
      </c>
      <c r="F2" t="s">
        <v>20</v>
      </c>
      <c r="G2" t="s">
        <v>21</v>
      </c>
      <c r="H2" t="str" cm="1">
        <f t="array" ref="H2:H321">PROPER(TRIM(G2:G321))</f>
        <v>Content Batch</v>
      </c>
      <c r="I2" t="s">
        <v>22</v>
      </c>
      <c r="J2" t="str" cm="1">
        <f t="array" ref="J2:J321">PROPER(TRIM(I2:I321))</f>
        <v>Whatsapp</v>
      </c>
      <c r="K2" t="s">
        <v>23</v>
      </c>
      <c r="L2">
        <v>3</v>
      </c>
      <c r="M2" cm="1">
        <f t="array" ref="M2:M321">VALUE(L2:L321)</f>
        <v>3</v>
      </c>
      <c r="N2" t="s">
        <v>24</v>
      </c>
      <c r="O2" s="7">
        <v>255000</v>
      </c>
      <c r="P2" s="7">
        <v>25500</v>
      </c>
      <c r="Q2" s="7">
        <v>229500</v>
      </c>
      <c r="R2" s="7">
        <f>IF(Q2="","",IF(ISNUMBER(Q2),Q2,VALUE(SUBSTITUTE(SUBSTITUTE(Q2,"RP ",""),",",""))))</f>
        <v>229500</v>
      </c>
      <c r="S2" t="s">
        <v>25</v>
      </c>
      <c r="T2" t="str">
        <f>IF(S2="","",PROPER(TRIM(S2)))</f>
        <v>Transfer</v>
      </c>
      <c r="U2" t="s">
        <v>26</v>
      </c>
      <c r="V2">
        <v>4</v>
      </c>
      <c r="W2">
        <f>IF(V2="","",VALUE(V2))</f>
        <v>4</v>
      </c>
      <c r="Y2" t="str">
        <f>IF(U2="Cancelled",IF(X2="","Not Provided",X2), "")</f>
        <v>Not Provided</v>
      </c>
      <c r="Z2" t="s">
        <v>27</v>
      </c>
      <c r="AC2" t="str">
        <f>IF(COUNTIF($A:$A,A2)&gt;1,"Duplicate","Unique")</f>
        <v>Unique</v>
      </c>
      <c r="AD2">
        <f>COUNTIF(AC2:AC321,"Duplicate")</f>
        <v>0</v>
      </c>
    </row>
    <row r="3" spans="1:30" x14ac:dyDescent="0.35">
      <c r="A3" t="s">
        <v>28</v>
      </c>
      <c r="B3" s="8">
        <v>45661</v>
      </c>
      <c r="C3" s="9">
        <f t="shared" ref="C3:C66" si="0">IF(B3="","",IF(ISNUMBER(B3),INT(B3),IF(ISNUMBER(DATEVALUE(B3)),DATEVALUE(B3),"")))</f>
        <v>45661</v>
      </c>
      <c r="D3" t="s">
        <v>29</v>
      </c>
      <c r="E3" t="str">
        <v>Bandung</v>
      </c>
      <c r="F3" t="s">
        <v>30</v>
      </c>
      <c r="G3" t="s">
        <v>31</v>
      </c>
      <c r="H3" t="str">
        <v>Product Photoshoot</v>
      </c>
      <c r="I3" t="s">
        <v>22</v>
      </c>
      <c r="J3" t="str">
        <v>Whatsapp</v>
      </c>
      <c r="K3" t="s">
        <v>23</v>
      </c>
      <c r="L3">
        <v>1</v>
      </c>
      <c r="M3">
        <v>1</v>
      </c>
      <c r="N3" t="s">
        <v>32</v>
      </c>
      <c r="O3" s="7">
        <v>175000</v>
      </c>
      <c r="P3" s="7">
        <v>0</v>
      </c>
      <c r="Q3" s="7">
        <v>175000</v>
      </c>
      <c r="R3" s="7">
        <f t="shared" ref="R3:R66" si="1">IF(Q3="","",IF(ISNUMBER(Q3),Q3,VALUE(SUBSTITUTE(SUBSTITUTE(Q3,"RP ",""),",",""))))</f>
        <v>175000</v>
      </c>
      <c r="S3" t="s">
        <v>33</v>
      </c>
      <c r="T3" t="str">
        <f t="shared" ref="T3:T66" si="2">IF(S3="","",PROPER(TRIM(S3)))</f>
        <v>Virtual Account</v>
      </c>
      <c r="U3" t="s">
        <v>34</v>
      </c>
      <c r="V3">
        <v>4</v>
      </c>
      <c r="W3">
        <f t="shared" ref="W3:W66" si="3">IF(V3="","",VALUE(V3))</f>
        <v>4</v>
      </c>
      <c r="Y3" t="str">
        <f t="shared" ref="Y3:Y66" si="4">IF(U3="Cancelled",IF(X3="","Not Provided",X3), "")</f>
        <v/>
      </c>
      <c r="Z3" t="s">
        <v>27</v>
      </c>
      <c r="AA3" t="s">
        <v>35</v>
      </c>
      <c r="AC3" t="str">
        <f>IF(COUNTIF($A:$A,A3)&gt;1,"Duplicate","Unique")</f>
        <v>Unique</v>
      </c>
    </row>
    <row r="4" spans="1:30" x14ac:dyDescent="0.35">
      <c r="A4" t="s">
        <v>36</v>
      </c>
      <c r="B4" s="2">
        <v>45953</v>
      </c>
      <c r="C4" s="9">
        <f t="shared" si="0"/>
        <v>45953</v>
      </c>
      <c r="D4" t="s">
        <v>37</v>
      </c>
      <c r="E4" t="str">
        <v>Bandung</v>
      </c>
      <c r="F4" t="s">
        <v>20</v>
      </c>
      <c r="G4" t="s">
        <v>38</v>
      </c>
      <c r="H4" t="str">
        <v>Podcast Recording</v>
      </c>
      <c r="I4" t="s">
        <v>39</v>
      </c>
      <c r="J4" t="str">
        <v>Website</v>
      </c>
      <c r="K4" t="s">
        <v>40</v>
      </c>
      <c r="L4">
        <v>2</v>
      </c>
      <c r="M4">
        <v>2</v>
      </c>
      <c r="N4" t="s">
        <v>41</v>
      </c>
      <c r="O4" s="7">
        <v>240000</v>
      </c>
      <c r="P4" s="7">
        <v>12000</v>
      </c>
      <c r="Q4" s="7">
        <v>228000</v>
      </c>
      <c r="R4" s="7">
        <f t="shared" si="1"/>
        <v>228000</v>
      </c>
      <c r="S4" t="s">
        <v>42</v>
      </c>
      <c r="T4" t="str">
        <f t="shared" si="2"/>
        <v>E-Wallet</v>
      </c>
      <c r="U4" t="s">
        <v>34</v>
      </c>
      <c r="V4">
        <v>5</v>
      </c>
      <c r="W4">
        <f t="shared" si="3"/>
        <v>5</v>
      </c>
      <c r="Y4" t="str">
        <f t="shared" si="4"/>
        <v/>
      </c>
      <c r="Z4" t="s">
        <v>43</v>
      </c>
      <c r="AA4" t="s">
        <v>35</v>
      </c>
      <c r="AC4" t="str">
        <f>IF(COUNTIF($A:$A,A4)&gt;1,"Duplicate","Unique")</f>
        <v>Unique</v>
      </c>
    </row>
    <row r="5" spans="1:30" x14ac:dyDescent="0.35">
      <c r="A5" t="s">
        <v>44</v>
      </c>
      <c r="B5" s="2">
        <v>45796</v>
      </c>
      <c r="C5" s="9">
        <f t="shared" si="0"/>
        <v>45796</v>
      </c>
      <c r="D5" t="s">
        <v>45</v>
      </c>
      <c r="E5" t="str">
        <v>Malang</v>
      </c>
      <c r="F5" t="s">
        <v>46</v>
      </c>
      <c r="G5" t="s">
        <v>21</v>
      </c>
      <c r="H5" t="str">
        <v>Content Batch</v>
      </c>
      <c r="I5" t="s">
        <v>22</v>
      </c>
      <c r="J5" t="str">
        <v>Whatsapp</v>
      </c>
      <c r="K5" t="s">
        <v>47</v>
      </c>
      <c r="L5">
        <v>2</v>
      </c>
      <c r="M5">
        <v>2</v>
      </c>
      <c r="N5" t="s">
        <v>41</v>
      </c>
      <c r="O5" s="7">
        <v>420000</v>
      </c>
      <c r="P5" s="7">
        <v>0</v>
      </c>
      <c r="Q5" s="7">
        <v>420000</v>
      </c>
      <c r="R5" s="7">
        <f t="shared" si="1"/>
        <v>420000</v>
      </c>
      <c r="S5" t="s">
        <v>25</v>
      </c>
      <c r="T5" t="str">
        <f t="shared" si="2"/>
        <v>Transfer</v>
      </c>
      <c r="U5" t="s">
        <v>34</v>
      </c>
      <c r="V5">
        <v>4</v>
      </c>
      <c r="W5">
        <f t="shared" si="3"/>
        <v>4</v>
      </c>
      <c r="Y5" t="str">
        <f t="shared" si="4"/>
        <v/>
      </c>
      <c r="Z5" t="s">
        <v>48</v>
      </c>
      <c r="AA5" t="s">
        <v>49</v>
      </c>
      <c r="AC5" t="str">
        <f>IF(COUNTIF($A:$A,A5)&gt;1,"Duplicate","Unique")</f>
        <v>Unique</v>
      </c>
    </row>
    <row r="6" spans="1:30" x14ac:dyDescent="0.35">
      <c r="A6" t="s">
        <v>50</v>
      </c>
      <c r="B6" s="2">
        <v>45877</v>
      </c>
      <c r="C6" s="9">
        <f t="shared" si="0"/>
        <v>45877</v>
      </c>
      <c r="D6" t="s">
        <v>45</v>
      </c>
      <c r="E6" t="str">
        <v>Malang</v>
      </c>
      <c r="F6" t="s">
        <v>30</v>
      </c>
      <c r="G6" t="s">
        <v>31</v>
      </c>
      <c r="H6" t="str">
        <v>Product Photoshoot</v>
      </c>
      <c r="I6" t="s">
        <v>39</v>
      </c>
      <c r="J6" t="str">
        <v>Website</v>
      </c>
      <c r="K6" t="s">
        <v>23</v>
      </c>
      <c r="L6" t="s">
        <v>51</v>
      </c>
      <c r="M6">
        <v>4</v>
      </c>
      <c r="N6" t="s">
        <v>24</v>
      </c>
      <c r="O6" s="7">
        <v>500000</v>
      </c>
      <c r="P6" s="7">
        <v>0</v>
      </c>
      <c r="Q6" s="7">
        <v>500000</v>
      </c>
      <c r="R6" s="7">
        <f t="shared" si="1"/>
        <v>500000</v>
      </c>
      <c r="S6" t="s">
        <v>25</v>
      </c>
      <c r="T6" t="str">
        <f t="shared" si="2"/>
        <v>Transfer</v>
      </c>
      <c r="U6" t="s">
        <v>34</v>
      </c>
      <c r="V6">
        <v>5</v>
      </c>
      <c r="W6">
        <f t="shared" si="3"/>
        <v>5</v>
      </c>
      <c r="Y6" t="str">
        <f t="shared" si="4"/>
        <v/>
      </c>
      <c r="Z6" t="s">
        <v>48</v>
      </c>
      <c r="AC6" t="str">
        <f>IF(COUNTIF($A:$A,A6)&gt;1,"Duplicate","Unique")</f>
        <v>Unique</v>
      </c>
    </row>
    <row r="7" spans="1:30" x14ac:dyDescent="0.35">
      <c r="A7" t="s">
        <v>52</v>
      </c>
      <c r="B7" s="2">
        <v>45794</v>
      </c>
      <c r="C7" s="9">
        <f t="shared" si="0"/>
        <v>45794</v>
      </c>
      <c r="D7" t="s">
        <v>53</v>
      </c>
      <c r="E7" t="str">
        <v>Surabaya</v>
      </c>
      <c r="F7" t="s">
        <v>20</v>
      </c>
      <c r="G7" t="s">
        <v>31</v>
      </c>
      <c r="H7" t="str">
        <v>Product Photoshoot</v>
      </c>
      <c r="I7" t="s">
        <v>54</v>
      </c>
      <c r="J7" t="str">
        <v>Referral</v>
      </c>
      <c r="K7" t="s">
        <v>23</v>
      </c>
      <c r="L7">
        <v>4</v>
      </c>
      <c r="M7">
        <v>4</v>
      </c>
      <c r="N7" t="s">
        <v>55</v>
      </c>
      <c r="O7" s="7">
        <v>640000</v>
      </c>
      <c r="P7" s="7">
        <v>64000</v>
      </c>
      <c r="Q7" s="7">
        <v>576000</v>
      </c>
      <c r="R7" s="7">
        <f t="shared" si="1"/>
        <v>576000</v>
      </c>
      <c r="S7" t="s">
        <v>33</v>
      </c>
      <c r="T7" t="str">
        <f t="shared" si="2"/>
        <v>Virtual Account</v>
      </c>
      <c r="U7" t="s">
        <v>56</v>
      </c>
      <c r="V7">
        <v>3</v>
      </c>
      <c r="W7">
        <f t="shared" si="3"/>
        <v>3</v>
      </c>
      <c r="Y7" t="str">
        <f t="shared" si="4"/>
        <v/>
      </c>
      <c r="Z7" t="s">
        <v>43</v>
      </c>
      <c r="AA7" t="s">
        <v>35</v>
      </c>
      <c r="AC7" t="str">
        <f>IF(COUNTIF($A:$A,A7)&gt;1,"Duplicate","Unique")</f>
        <v>Unique</v>
      </c>
    </row>
    <row r="8" spans="1:30" x14ac:dyDescent="0.35">
      <c r="A8" t="s">
        <v>57</v>
      </c>
      <c r="B8" s="2">
        <v>45667</v>
      </c>
      <c r="C8" s="9">
        <f t="shared" si="0"/>
        <v>45667</v>
      </c>
      <c r="D8" t="s">
        <v>58</v>
      </c>
      <c r="E8" t="str">
        <v>Jakarta</v>
      </c>
      <c r="F8" t="s">
        <v>59</v>
      </c>
      <c r="G8" t="s">
        <v>31</v>
      </c>
      <c r="H8" t="str">
        <v>Product Photoshoot</v>
      </c>
      <c r="I8" t="s">
        <v>39</v>
      </c>
      <c r="J8" t="str">
        <v>Website</v>
      </c>
      <c r="K8" t="s">
        <v>47</v>
      </c>
      <c r="L8">
        <v>3</v>
      </c>
      <c r="M8">
        <v>3</v>
      </c>
      <c r="N8" t="s">
        <v>32</v>
      </c>
      <c r="O8" s="7">
        <v>570000</v>
      </c>
      <c r="P8" s="7">
        <v>0</v>
      </c>
      <c r="Q8" s="7">
        <v>570000</v>
      </c>
      <c r="R8" s="7">
        <f t="shared" si="1"/>
        <v>570000</v>
      </c>
      <c r="S8" t="s">
        <v>25</v>
      </c>
      <c r="T8" t="str">
        <f t="shared" si="2"/>
        <v>Transfer</v>
      </c>
      <c r="U8" t="s">
        <v>34</v>
      </c>
      <c r="W8" t="str">
        <f t="shared" si="3"/>
        <v/>
      </c>
      <c r="Y8" t="str">
        <f t="shared" si="4"/>
        <v/>
      </c>
      <c r="Z8" t="s">
        <v>60</v>
      </c>
      <c r="AA8" t="s">
        <v>49</v>
      </c>
      <c r="AC8" t="str">
        <f>IF(COUNTIF($A:$A,A8)&gt;1,"Duplicate","Unique")</f>
        <v>Unique</v>
      </c>
    </row>
    <row r="9" spans="1:30" x14ac:dyDescent="0.35">
      <c r="A9" t="s">
        <v>61</v>
      </c>
      <c r="B9" t="s">
        <v>62</v>
      </c>
      <c r="C9" s="9">
        <f t="shared" si="0"/>
        <v>45817</v>
      </c>
      <c r="D9" t="s">
        <v>63</v>
      </c>
      <c r="E9" t="str">
        <v>Yogyakarta</v>
      </c>
      <c r="F9" t="s">
        <v>59</v>
      </c>
      <c r="G9" t="s">
        <v>64</v>
      </c>
      <c r="H9" t="str">
        <v>Live Streaming</v>
      </c>
      <c r="I9" t="s">
        <v>65</v>
      </c>
      <c r="J9" t="str">
        <v>Marketplace</v>
      </c>
      <c r="K9" t="s">
        <v>66</v>
      </c>
      <c r="L9">
        <v>1</v>
      </c>
      <c r="M9">
        <v>1</v>
      </c>
      <c r="N9" t="s">
        <v>24</v>
      </c>
      <c r="O9" s="7">
        <v>140000</v>
      </c>
      <c r="P9" s="7">
        <v>14000</v>
      </c>
      <c r="Q9" s="7">
        <v>126000</v>
      </c>
      <c r="R9" s="7">
        <f t="shared" si="1"/>
        <v>126000</v>
      </c>
      <c r="S9" t="s">
        <v>42</v>
      </c>
      <c r="T9" t="str">
        <f t="shared" si="2"/>
        <v>E-Wallet</v>
      </c>
      <c r="U9" t="s">
        <v>34</v>
      </c>
      <c r="V9">
        <v>5</v>
      </c>
      <c r="W9">
        <f t="shared" si="3"/>
        <v>5</v>
      </c>
      <c r="Y9" t="str">
        <f t="shared" si="4"/>
        <v/>
      </c>
      <c r="Z9" t="s">
        <v>27</v>
      </c>
      <c r="AC9" t="str">
        <f>IF(COUNTIF($A:$A,A9)&gt;1,"Duplicate","Unique")</f>
        <v>Unique</v>
      </c>
    </row>
    <row r="10" spans="1:30" x14ac:dyDescent="0.35">
      <c r="A10" t="s">
        <v>67</v>
      </c>
      <c r="B10" t="s">
        <v>68</v>
      </c>
      <c r="C10" s="9">
        <f t="shared" si="0"/>
        <v>46000</v>
      </c>
      <c r="D10" t="s">
        <v>69</v>
      </c>
      <c r="E10" t="str">
        <v>Yogyakarta</v>
      </c>
      <c r="F10" t="s">
        <v>46</v>
      </c>
      <c r="G10" t="s">
        <v>70</v>
      </c>
      <c r="H10" t="str">
        <v>Voice Over</v>
      </c>
      <c r="I10" t="s">
        <v>39</v>
      </c>
      <c r="J10" t="str">
        <v>Website</v>
      </c>
      <c r="K10" t="s">
        <v>71</v>
      </c>
      <c r="L10">
        <v>4</v>
      </c>
      <c r="M10">
        <v>4</v>
      </c>
      <c r="N10" t="s">
        <v>32</v>
      </c>
      <c r="O10" s="7">
        <v>900000</v>
      </c>
      <c r="P10" s="7">
        <v>0</v>
      </c>
      <c r="Q10" s="7">
        <v>900000</v>
      </c>
      <c r="R10" s="7">
        <f t="shared" si="1"/>
        <v>900000</v>
      </c>
      <c r="S10" t="s">
        <v>42</v>
      </c>
      <c r="T10" t="str">
        <f t="shared" si="2"/>
        <v>E-Wallet</v>
      </c>
      <c r="U10" t="s">
        <v>34</v>
      </c>
      <c r="V10">
        <v>3</v>
      </c>
      <c r="W10">
        <f t="shared" si="3"/>
        <v>3</v>
      </c>
      <c r="Y10" t="str">
        <f t="shared" si="4"/>
        <v/>
      </c>
      <c r="Z10" t="s">
        <v>72</v>
      </c>
      <c r="AC10" t="str">
        <f>IF(COUNTIF($A:$A,A10)&gt;1,"Duplicate","Unique")</f>
        <v>Unique</v>
      </c>
    </row>
    <row r="11" spans="1:30" x14ac:dyDescent="0.35">
      <c r="A11" t="s">
        <v>73</v>
      </c>
      <c r="B11" s="2">
        <v>45785</v>
      </c>
      <c r="C11" s="9">
        <f t="shared" si="0"/>
        <v>45785</v>
      </c>
      <c r="D11" t="s">
        <v>37</v>
      </c>
      <c r="E11" t="str">
        <v>Bandung</v>
      </c>
      <c r="F11" t="s">
        <v>46</v>
      </c>
      <c r="G11" t="s">
        <v>70</v>
      </c>
      <c r="H11" t="str">
        <v>Voice Over</v>
      </c>
      <c r="I11" t="s">
        <v>74</v>
      </c>
      <c r="J11" t="str">
        <v>Referral</v>
      </c>
      <c r="K11" t="s">
        <v>23</v>
      </c>
      <c r="L11">
        <v>1</v>
      </c>
      <c r="M11">
        <v>1</v>
      </c>
      <c r="N11" t="s">
        <v>24</v>
      </c>
      <c r="O11" s="7">
        <v>175000</v>
      </c>
      <c r="P11" s="7">
        <v>8750</v>
      </c>
      <c r="Q11" s="7">
        <v>166250</v>
      </c>
      <c r="R11" s="7">
        <f t="shared" si="1"/>
        <v>166250</v>
      </c>
      <c r="S11" t="s">
        <v>33</v>
      </c>
      <c r="T11" t="str">
        <f t="shared" si="2"/>
        <v>Virtual Account</v>
      </c>
      <c r="U11" t="s">
        <v>34</v>
      </c>
      <c r="W11" t="str">
        <f t="shared" si="3"/>
        <v/>
      </c>
      <c r="Y11" t="str">
        <f t="shared" si="4"/>
        <v/>
      </c>
      <c r="Z11" t="s">
        <v>43</v>
      </c>
      <c r="AA11" t="s">
        <v>35</v>
      </c>
      <c r="AC11" t="str">
        <f>IF(COUNTIF($A:$A,A11)&gt;1,"Duplicate","Unique")</f>
        <v>Unique</v>
      </c>
    </row>
    <row r="12" spans="1:30" x14ac:dyDescent="0.35">
      <c r="A12" t="s">
        <v>75</v>
      </c>
      <c r="B12" t="s">
        <v>76</v>
      </c>
      <c r="C12" s="9">
        <f t="shared" si="0"/>
        <v>45688</v>
      </c>
      <c r="D12" t="s">
        <v>77</v>
      </c>
      <c r="E12" t="str">
        <v>Bandung</v>
      </c>
      <c r="F12" t="s">
        <v>30</v>
      </c>
      <c r="G12" t="s">
        <v>38</v>
      </c>
      <c r="H12" t="str">
        <v>Podcast Recording</v>
      </c>
      <c r="I12" t="s">
        <v>54</v>
      </c>
      <c r="J12" t="str">
        <v>Referral</v>
      </c>
      <c r="K12" t="s">
        <v>40</v>
      </c>
      <c r="L12">
        <v>2</v>
      </c>
      <c r="M12">
        <v>2</v>
      </c>
      <c r="N12" t="s">
        <v>32</v>
      </c>
      <c r="O12" s="7">
        <v>350000</v>
      </c>
      <c r="P12" s="7">
        <v>0</v>
      </c>
      <c r="Q12" s="7">
        <v>350000</v>
      </c>
      <c r="R12" s="7">
        <f t="shared" si="1"/>
        <v>350000</v>
      </c>
      <c r="S12" t="s">
        <v>78</v>
      </c>
      <c r="T12" t="str">
        <f t="shared" si="2"/>
        <v>Cash</v>
      </c>
      <c r="U12" t="s">
        <v>34</v>
      </c>
      <c r="V12">
        <v>4</v>
      </c>
      <c r="W12">
        <f t="shared" si="3"/>
        <v>4</v>
      </c>
      <c r="Y12" t="str">
        <f t="shared" si="4"/>
        <v/>
      </c>
      <c r="Z12" t="s">
        <v>48</v>
      </c>
      <c r="AC12" t="str">
        <f>IF(COUNTIF($A:$A,A12)&gt;1,"Duplicate","Unique")</f>
        <v>Unique</v>
      </c>
    </row>
    <row r="13" spans="1:30" x14ac:dyDescent="0.35">
      <c r="A13" t="s">
        <v>79</v>
      </c>
      <c r="B13" s="2">
        <v>45738</v>
      </c>
      <c r="C13" s="9">
        <f t="shared" si="0"/>
        <v>45738</v>
      </c>
      <c r="D13" t="s">
        <v>58</v>
      </c>
      <c r="E13" t="str">
        <v>Jakarta</v>
      </c>
      <c r="F13" t="s">
        <v>80</v>
      </c>
      <c r="G13" t="s">
        <v>38</v>
      </c>
      <c r="H13" t="str">
        <v>Podcast Recording</v>
      </c>
      <c r="I13" t="s">
        <v>39</v>
      </c>
      <c r="J13" t="str">
        <v>Website</v>
      </c>
      <c r="K13" t="s">
        <v>47</v>
      </c>
      <c r="L13">
        <v>1</v>
      </c>
      <c r="M13">
        <v>1</v>
      </c>
      <c r="N13" t="s">
        <v>55</v>
      </c>
      <c r="O13" s="7">
        <v>265000</v>
      </c>
      <c r="P13" s="7">
        <v>26500</v>
      </c>
      <c r="Q13" s="7">
        <v>238500</v>
      </c>
      <c r="R13" s="7">
        <f t="shared" si="1"/>
        <v>238500</v>
      </c>
      <c r="S13" t="s">
        <v>42</v>
      </c>
      <c r="T13" t="str">
        <f t="shared" si="2"/>
        <v>E-Wallet</v>
      </c>
      <c r="U13" t="s">
        <v>34</v>
      </c>
      <c r="V13">
        <v>5</v>
      </c>
      <c r="W13">
        <f t="shared" si="3"/>
        <v>5</v>
      </c>
      <c r="Y13" t="str">
        <f t="shared" si="4"/>
        <v/>
      </c>
      <c r="Z13" t="s">
        <v>27</v>
      </c>
      <c r="AC13" t="str">
        <f>IF(COUNTIF($A:$A,A13)&gt;1,"Duplicate","Unique")</f>
        <v>Unique</v>
      </c>
    </row>
    <row r="14" spans="1:30" x14ac:dyDescent="0.35">
      <c r="A14" t="s">
        <v>81</v>
      </c>
      <c r="B14" s="2">
        <v>45892</v>
      </c>
      <c r="C14" s="9">
        <f t="shared" si="0"/>
        <v>45892</v>
      </c>
      <c r="D14" t="s">
        <v>53</v>
      </c>
      <c r="E14" t="str">
        <v>Surabaya</v>
      </c>
      <c r="F14" t="s">
        <v>20</v>
      </c>
      <c r="G14" t="s">
        <v>38</v>
      </c>
      <c r="H14" t="str">
        <v>Podcast Recording</v>
      </c>
      <c r="I14" t="s">
        <v>54</v>
      </c>
      <c r="J14" t="str">
        <v>Referral</v>
      </c>
      <c r="K14" t="s">
        <v>71</v>
      </c>
      <c r="L14">
        <v>2</v>
      </c>
      <c r="M14">
        <v>2</v>
      </c>
      <c r="N14" t="s">
        <v>55</v>
      </c>
      <c r="O14" s="7">
        <v>320000</v>
      </c>
      <c r="P14" s="7">
        <v>32000</v>
      </c>
      <c r="Q14" s="7">
        <v>288000</v>
      </c>
      <c r="R14" s="7">
        <f t="shared" si="1"/>
        <v>288000</v>
      </c>
      <c r="S14" t="s">
        <v>25</v>
      </c>
      <c r="T14" t="str">
        <f t="shared" si="2"/>
        <v>Transfer</v>
      </c>
      <c r="U14" t="s">
        <v>34</v>
      </c>
      <c r="V14">
        <v>4</v>
      </c>
      <c r="W14">
        <f t="shared" si="3"/>
        <v>4</v>
      </c>
      <c r="Y14" t="str">
        <f t="shared" si="4"/>
        <v/>
      </c>
      <c r="Z14" t="s">
        <v>72</v>
      </c>
      <c r="AC14" t="str">
        <f>IF(COUNTIF($A:$A,A14)&gt;1,"Duplicate","Unique")</f>
        <v>Unique</v>
      </c>
    </row>
    <row r="15" spans="1:30" x14ac:dyDescent="0.35">
      <c r="A15" t="s">
        <v>82</v>
      </c>
      <c r="B15" t="s">
        <v>83</v>
      </c>
      <c r="C15" s="9">
        <f t="shared" si="0"/>
        <v>45999</v>
      </c>
      <c r="D15" t="s">
        <v>45</v>
      </c>
      <c r="E15" t="str">
        <v>Malang</v>
      </c>
      <c r="F15" t="s">
        <v>59</v>
      </c>
      <c r="G15" t="s">
        <v>21</v>
      </c>
      <c r="H15" t="str">
        <v>Content Batch</v>
      </c>
      <c r="I15" t="s">
        <v>84</v>
      </c>
      <c r="J15" t="str">
        <v>Instagram</v>
      </c>
      <c r="K15" t="s">
        <v>23</v>
      </c>
      <c r="L15">
        <v>2</v>
      </c>
      <c r="M15">
        <v>2</v>
      </c>
      <c r="N15" t="s">
        <v>55</v>
      </c>
      <c r="O15" s="7">
        <v>430000</v>
      </c>
      <c r="P15" s="7">
        <v>0</v>
      </c>
      <c r="Q15" s="7">
        <v>430000</v>
      </c>
      <c r="R15" s="7">
        <f t="shared" si="1"/>
        <v>430000</v>
      </c>
      <c r="S15" t="s">
        <v>25</v>
      </c>
      <c r="T15" t="str">
        <f t="shared" si="2"/>
        <v>Transfer</v>
      </c>
      <c r="U15" t="s">
        <v>26</v>
      </c>
      <c r="V15">
        <v>4</v>
      </c>
      <c r="W15">
        <f t="shared" si="3"/>
        <v>4</v>
      </c>
      <c r="X15" t="s">
        <v>85</v>
      </c>
      <c r="Y15" t="str">
        <f t="shared" si="4"/>
        <v>Budget issue</v>
      </c>
      <c r="Z15" t="s">
        <v>72</v>
      </c>
      <c r="AC15" t="str">
        <f>IF(COUNTIF($A:$A,A15)&gt;1,"Duplicate","Unique")</f>
        <v>Unique</v>
      </c>
    </row>
    <row r="16" spans="1:30" x14ac:dyDescent="0.35">
      <c r="A16" t="s">
        <v>86</v>
      </c>
      <c r="B16" s="2">
        <v>45828</v>
      </c>
      <c r="C16" s="9">
        <f t="shared" si="0"/>
        <v>45828</v>
      </c>
      <c r="D16" t="s">
        <v>37</v>
      </c>
      <c r="E16" t="str">
        <v>Bandung</v>
      </c>
      <c r="F16" t="s">
        <v>59</v>
      </c>
      <c r="G16" t="s">
        <v>87</v>
      </c>
      <c r="H16" t="str">
        <v>Video Podcast</v>
      </c>
      <c r="I16" t="s">
        <v>54</v>
      </c>
      <c r="J16" t="str">
        <v>Referral</v>
      </c>
      <c r="K16" t="s">
        <v>71</v>
      </c>
      <c r="L16" t="s">
        <v>88</v>
      </c>
      <c r="M16">
        <v>1</v>
      </c>
      <c r="N16" t="s">
        <v>55</v>
      </c>
      <c r="O16" s="7">
        <v>215000</v>
      </c>
      <c r="P16" s="7">
        <v>21500</v>
      </c>
      <c r="Q16" s="7">
        <v>193500</v>
      </c>
      <c r="R16" s="7">
        <f t="shared" si="1"/>
        <v>193500</v>
      </c>
      <c r="S16" t="s">
        <v>25</v>
      </c>
      <c r="T16" t="str">
        <f t="shared" si="2"/>
        <v>Transfer</v>
      </c>
      <c r="U16" t="s">
        <v>34</v>
      </c>
      <c r="V16">
        <v>3</v>
      </c>
      <c r="W16">
        <f t="shared" si="3"/>
        <v>3</v>
      </c>
      <c r="Y16" t="str">
        <f t="shared" si="4"/>
        <v/>
      </c>
      <c r="Z16" t="s">
        <v>60</v>
      </c>
      <c r="AA16" t="s">
        <v>35</v>
      </c>
      <c r="AC16" t="str">
        <f>IF(COUNTIF($A:$A,A16)&gt;1,"Duplicate","Unique")</f>
        <v>Unique</v>
      </c>
    </row>
    <row r="17" spans="1:29" x14ac:dyDescent="0.35">
      <c r="A17" t="s">
        <v>89</v>
      </c>
      <c r="B17" s="2">
        <v>45999</v>
      </c>
      <c r="C17" s="9">
        <f t="shared" si="0"/>
        <v>45999</v>
      </c>
      <c r="D17" t="s">
        <v>58</v>
      </c>
      <c r="E17" t="str">
        <v>Jakarta</v>
      </c>
      <c r="F17" t="s">
        <v>59</v>
      </c>
      <c r="G17" t="s">
        <v>90</v>
      </c>
      <c r="H17" t="str">
        <v>Voice Over</v>
      </c>
      <c r="I17" t="s">
        <v>54</v>
      </c>
      <c r="J17" t="str">
        <v>Referral</v>
      </c>
      <c r="K17" t="s">
        <v>71</v>
      </c>
      <c r="L17" t="s">
        <v>51</v>
      </c>
      <c r="M17">
        <v>4</v>
      </c>
      <c r="N17" t="s">
        <v>55</v>
      </c>
      <c r="O17" s="7">
        <v>860000</v>
      </c>
      <c r="P17" s="7">
        <v>43000</v>
      </c>
      <c r="Q17" s="7">
        <v>817000</v>
      </c>
      <c r="R17" s="7">
        <f t="shared" si="1"/>
        <v>817000</v>
      </c>
      <c r="S17" t="s">
        <v>42</v>
      </c>
      <c r="T17" t="str">
        <f t="shared" si="2"/>
        <v>E-Wallet</v>
      </c>
      <c r="U17" t="s">
        <v>34</v>
      </c>
      <c r="V17">
        <v>3</v>
      </c>
      <c r="W17">
        <f t="shared" si="3"/>
        <v>3</v>
      </c>
      <c r="Y17" t="str">
        <f t="shared" si="4"/>
        <v/>
      </c>
      <c r="Z17" t="s">
        <v>43</v>
      </c>
      <c r="AC17" t="str">
        <f>IF(COUNTIF($A:$A,A17)&gt;1,"Duplicate","Unique")</f>
        <v>Unique</v>
      </c>
    </row>
    <row r="18" spans="1:29" x14ac:dyDescent="0.35">
      <c r="A18" t="s">
        <v>91</v>
      </c>
      <c r="B18" s="2">
        <v>45771</v>
      </c>
      <c r="C18" s="9">
        <f t="shared" si="0"/>
        <v>45771</v>
      </c>
      <c r="D18" t="s">
        <v>37</v>
      </c>
      <c r="E18" t="str">
        <v>Bandung</v>
      </c>
      <c r="F18" t="s">
        <v>30</v>
      </c>
      <c r="G18" t="s">
        <v>31</v>
      </c>
      <c r="H18" t="str">
        <v>Product Photoshoot</v>
      </c>
      <c r="I18" t="s">
        <v>92</v>
      </c>
      <c r="J18" t="str">
        <v>Whatsapp</v>
      </c>
      <c r="K18" t="s">
        <v>23</v>
      </c>
      <c r="L18">
        <v>1</v>
      </c>
      <c r="M18">
        <v>1</v>
      </c>
      <c r="N18" t="s">
        <v>41</v>
      </c>
      <c r="O18" s="7">
        <v>160000</v>
      </c>
      <c r="P18" s="7">
        <v>0</v>
      </c>
      <c r="Q18" s="7">
        <v>160000</v>
      </c>
      <c r="R18" s="7">
        <f t="shared" si="1"/>
        <v>160000</v>
      </c>
      <c r="S18" t="s">
        <v>42</v>
      </c>
      <c r="T18" t="str">
        <f t="shared" si="2"/>
        <v>E-Wallet</v>
      </c>
      <c r="U18" t="s">
        <v>34</v>
      </c>
      <c r="W18" t="str">
        <f t="shared" si="3"/>
        <v/>
      </c>
      <c r="Y18" t="str">
        <f t="shared" si="4"/>
        <v/>
      </c>
      <c r="Z18" t="s">
        <v>72</v>
      </c>
      <c r="AC18" t="str">
        <f>IF(COUNTIF($A:$A,A18)&gt;1,"Duplicate","Unique")</f>
        <v>Unique</v>
      </c>
    </row>
    <row r="19" spans="1:29" x14ac:dyDescent="0.35">
      <c r="A19" t="s">
        <v>93</v>
      </c>
      <c r="B19" s="2">
        <v>45713</v>
      </c>
      <c r="C19" s="9">
        <f t="shared" si="0"/>
        <v>45713</v>
      </c>
      <c r="D19" t="s">
        <v>45</v>
      </c>
      <c r="E19" t="str">
        <v>Malang</v>
      </c>
      <c r="F19" t="s">
        <v>30</v>
      </c>
      <c r="G19" t="s">
        <v>31</v>
      </c>
      <c r="H19" t="str">
        <v>Product Photoshoot</v>
      </c>
      <c r="I19" t="s">
        <v>22</v>
      </c>
      <c r="J19" t="str">
        <v>Whatsapp</v>
      </c>
      <c r="K19" t="s">
        <v>66</v>
      </c>
      <c r="L19">
        <v>2</v>
      </c>
      <c r="M19">
        <v>2</v>
      </c>
      <c r="N19" t="s">
        <v>55</v>
      </c>
      <c r="O19" s="7">
        <v>400000</v>
      </c>
      <c r="P19" s="7">
        <v>0</v>
      </c>
      <c r="Q19" s="7">
        <v>400000</v>
      </c>
      <c r="R19" s="7">
        <f t="shared" si="1"/>
        <v>400000</v>
      </c>
      <c r="S19" t="s">
        <v>25</v>
      </c>
      <c r="T19" t="str">
        <f t="shared" si="2"/>
        <v>Transfer</v>
      </c>
      <c r="U19" t="s">
        <v>34</v>
      </c>
      <c r="V19">
        <v>3</v>
      </c>
      <c r="W19">
        <f t="shared" si="3"/>
        <v>3</v>
      </c>
      <c r="Y19" t="str">
        <f t="shared" si="4"/>
        <v/>
      </c>
      <c r="Z19" t="s">
        <v>48</v>
      </c>
      <c r="AA19" t="s">
        <v>94</v>
      </c>
      <c r="AC19" t="str">
        <f>IF(COUNTIF($A:$A,A19)&gt;1,"Duplicate","Unique")</f>
        <v>Unique</v>
      </c>
    </row>
    <row r="20" spans="1:29" x14ac:dyDescent="0.35">
      <c r="A20" t="s">
        <v>95</v>
      </c>
      <c r="B20" s="2">
        <v>45818</v>
      </c>
      <c r="C20" s="9">
        <f t="shared" si="0"/>
        <v>45818</v>
      </c>
      <c r="D20" t="s">
        <v>58</v>
      </c>
      <c r="E20" t="str">
        <v>Jakarta</v>
      </c>
      <c r="F20" t="s">
        <v>59</v>
      </c>
      <c r="G20" t="s">
        <v>90</v>
      </c>
      <c r="H20" t="str">
        <v>Voice Over</v>
      </c>
      <c r="I20" t="s">
        <v>92</v>
      </c>
      <c r="J20" t="str">
        <v>Whatsapp</v>
      </c>
      <c r="K20" t="s">
        <v>66</v>
      </c>
      <c r="L20">
        <v>1</v>
      </c>
      <c r="M20">
        <v>1</v>
      </c>
      <c r="N20" t="s">
        <v>55</v>
      </c>
      <c r="O20" s="7">
        <v>215000</v>
      </c>
      <c r="P20" s="7">
        <v>10750</v>
      </c>
      <c r="Q20" s="7">
        <v>204250</v>
      </c>
      <c r="R20" s="7">
        <f t="shared" si="1"/>
        <v>204250</v>
      </c>
      <c r="S20" t="s">
        <v>33</v>
      </c>
      <c r="T20" t="str">
        <f t="shared" si="2"/>
        <v>Virtual Account</v>
      </c>
      <c r="U20" t="s">
        <v>56</v>
      </c>
      <c r="V20">
        <v>5</v>
      </c>
      <c r="W20">
        <f t="shared" si="3"/>
        <v>5</v>
      </c>
      <c r="Y20" t="str">
        <f t="shared" si="4"/>
        <v/>
      </c>
      <c r="Z20" t="s">
        <v>43</v>
      </c>
      <c r="AA20" t="s">
        <v>96</v>
      </c>
      <c r="AC20" t="str">
        <f>IF(COUNTIF($A:$A,A20)&gt;1,"Duplicate","Unique")</f>
        <v>Unique</v>
      </c>
    </row>
    <row r="21" spans="1:29" x14ac:dyDescent="0.35">
      <c r="A21" t="s">
        <v>97</v>
      </c>
      <c r="B21" s="2">
        <v>45884</v>
      </c>
      <c r="C21" s="9">
        <f t="shared" si="0"/>
        <v>45884</v>
      </c>
      <c r="D21" t="s">
        <v>69</v>
      </c>
      <c r="E21" t="str">
        <v>Yogyakarta</v>
      </c>
      <c r="F21" t="s">
        <v>46</v>
      </c>
      <c r="G21" t="s">
        <v>70</v>
      </c>
      <c r="H21" t="str">
        <v>Voice Over</v>
      </c>
      <c r="I21" t="s">
        <v>54</v>
      </c>
      <c r="J21" t="str">
        <v>Referral</v>
      </c>
      <c r="K21" t="s">
        <v>23</v>
      </c>
      <c r="L21">
        <v>3</v>
      </c>
      <c r="M21">
        <v>3</v>
      </c>
      <c r="N21" t="s">
        <v>41</v>
      </c>
      <c r="O21" s="7">
        <v>630000</v>
      </c>
      <c r="P21" s="7">
        <v>0</v>
      </c>
      <c r="Q21" s="7">
        <v>630000</v>
      </c>
      <c r="R21" s="7">
        <f t="shared" si="1"/>
        <v>630000</v>
      </c>
      <c r="S21" t="s">
        <v>33</v>
      </c>
      <c r="T21" t="str">
        <f t="shared" si="2"/>
        <v>Virtual Account</v>
      </c>
      <c r="U21" t="s">
        <v>56</v>
      </c>
      <c r="W21" t="str">
        <f t="shared" si="3"/>
        <v/>
      </c>
      <c r="Y21" t="str">
        <f t="shared" si="4"/>
        <v/>
      </c>
      <c r="Z21" t="s">
        <v>48</v>
      </c>
      <c r="AA21" t="s">
        <v>35</v>
      </c>
      <c r="AC21" t="str">
        <f>IF(COUNTIF($A:$A,A21)&gt;1,"Duplicate","Unique")</f>
        <v>Unique</v>
      </c>
    </row>
    <row r="22" spans="1:29" x14ac:dyDescent="0.35">
      <c r="A22" t="s">
        <v>98</v>
      </c>
      <c r="B22" s="2">
        <v>45757</v>
      </c>
      <c r="C22" s="9">
        <f t="shared" si="0"/>
        <v>45757</v>
      </c>
      <c r="D22" t="s">
        <v>69</v>
      </c>
      <c r="E22" t="str">
        <v>Yogyakarta</v>
      </c>
      <c r="F22" t="s">
        <v>30</v>
      </c>
      <c r="G22" t="s">
        <v>99</v>
      </c>
      <c r="H22" t="str">
        <v>Live Streaming</v>
      </c>
      <c r="I22" t="s">
        <v>39</v>
      </c>
      <c r="J22" t="str">
        <v>Website</v>
      </c>
      <c r="K22" t="s">
        <v>23</v>
      </c>
      <c r="L22">
        <v>4</v>
      </c>
      <c r="M22">
        <v>4</v>
      </c>
      <c r="N22" t="s">
        <v>32</v>
      </c>
      <c r="O22" s="7">
        <v>700000</v>
      </c>
      <c r="P22" s="7">
        <v>0</v>
      </c>
      <c r="Q22" s="7">
        <v>700000</v>
      </c>
      <c r="R22" s="7">
        <f t="shared" si="1"/>
        <v>700000</v>
      </c>
      <c r="S22" t="s">
        <v>25</v>
      </c>
      <c r="T22" t="str">
        <f t="shared" si="2"/>
        <v>Transfer</v>
      </c>
      <c r="U22" t="s">
        <v>34</v>
      </c>
      <c r="V22">
        <v>4</v>
      </c>
      <c r="W22">
        <f t="shared" si="3"/>
        <v>4</v>
      </c>
      <c r="Y22" t="str">
        <f t="shared" si="4"/>
        <v/>
      </c>
      <c r="Z22" t="s">
        <v>43</v>
      </c>
      <c r="AA22" t="s">
        <v>35</v>
      </c>
      <c r="AC22" t="str">
        <f>IF(COUNTIF($A:$A,A22)&gt;1,"Duplicate","Unique")</f>
        <v>Unique</v>
      </c>
    </row>
    <row r="23" spans="1:29" x14ac:dyDescent="0.35">
      <c r="A23" t="s">
        <v>100</v>
      </c>
      <c r="B23" s="2">
        <v>45971</v>
      </c>
      <c r="C23" s="9">
        <f t="shared" si="0"/>
        <v>45971</v>
      </c>
      <c r="D23" t="s">
        <v>45</v>
      </c>
      <c r="E23" t="str">
        <v>Malang</v>
      </c>
      <c r="F23" t="s">
        <v>30</v>
      </c>
      <c r="G23" t="s">
        <v>90</v>
      </c>
      <c r="H23" t="str">
        <v>Voice Over</v>
      </c>
      <c r="I23" t="s">
        <v>54</v>
      </c>
      <c r="J23" t="str">
        <v>Referral</v>
      </c>
      <c r="K23" t="s">
        <v>23</v>
      </c>
      <c r="L23" t="s">
        <v>88</v>
      </c>
      <c r="M23">
        <v>1</v>
      </c>
      <c r="N23" t="s">
        <v>55</v>
      </c>
      <c r="O23" s="7">
        <v>200000</v>
      </c>
      <c r="P23" s="7">
        <v>30000</v>
      </c>
      <c r="Q23" s="7">
        <v>170000</v>
      </c>
      <c r="R23" s="7">
        <f t="shared" si="1"/>
        <v>170000</v>
      </c>
      <c r="S23" t="s">
        <v>78</v>
      </c>
      <c r="T23" t="str">
        <f t="shared" si="2"/>
        <v>Cash</v>
      </c>
      <c r="U23" t="s">
        <v>34</v>
      </c>
      <c r="V23">
        <v>4</v>
      </c>
      <c r="W23">
        <f t="shared" si="3"/>
        <v>4</v>
      </c>
      <c r="Y23" t="str">
        <f t="shared" si="4"/>
        <v/>
      </c>
      <c r="Z23" t="s">
        <v>43</v>
      </c>
      <c r="AA23" t="s">
        <v>35</v>
      </c>
      <c r="AC23" t="str">
        <f>IF(COUNTIF($A:$A,A23)&gt;1,"Duplicate","Unique")</f>
        <v>Unique</v>
      </c>
    </row>
    <row r="24" spans="1:29" x14ac:dyDescent="0.35">
      <c r="A24" t="s">
        <v>101</v>
      </c>
      <c r="B24" s="2">
        <v>46013</v>
      </c>
      <c r="C24" s="9">
        <f t="shared" si="0"/>
        <v>46013</v>
      </c>
      <c r="D24" t="s">
        <v>37</v>
      </c>
      <c r="E24" t="str">
        <v>Bandung</v>
      </c>
      <c r="F24" t="s">
        <v>46</v>
      </c>
      <c r="G24" t="s">
        <v>38</v>
      </c>
      <c r="H24" t="str">
        <v>Podcast Recording</v>
      </c>
      <c r="I24" t="s">
        <v>74</v>
      </c>
      <c r="J24" t="str">
        <v>Referral</v>
      </c>
      <c r="K24" t="s">
        <v>66</v>
      </c>
      <c r="L24">
        <v>1</v>
      </c>
      <c r="M24">
        <v>1</v>
      </c>
      <c r="N24" t="s">
        <v>55</v>
      </c>
      <c r="O24" s="7">
        <v>250000</v>
      </c>
      <c r="P24" s="7">
        <v>12500</v>
      </c>
      <c r="Q24" s="7">
        <v>237500</v>
      </c>
      <c r="R24" s="7">
        <f t="shared" si="1"/>
        <v>237500</v>
      </c>
      <c r="S24" t="s">
        <v>78</v>
      </c>
      <c r="T24" t="str">
        <f t="shared" si="2"/>
        <v>Cash</v>
      </c>
      <c r="U24" t="s">
        <v>34</v>
      </c>
      <c r="V24">
        <v>4</v>
      </c>
      <c r="W24">
        <f t="shared" si="3"/>
        <v>4</v>
      </c>
      <c r="Y24" t="str">
        <f t="shared" si="4"/>
        <v/>
      </c>
      <c r="Z24" t="s">
        <v>43</v>
      </c>
      <c r="AA24" t="s">
        <v>35</v>
      </c>
      <c r="AC24" t="str">
        <f>IF(COUNTIF($A:$A,A24)&gt;1,"Duplicate","Unique")</f>
        <v>Unique</v>
      </c>
    </row>
    <row r="25" spans="1:29" x14ac:dyDescent="0.35">
      <c r="A25" t="s">
        <v>102</v>
      </c>
      <c r="B25" s="2">
        <v>45933</v>
      </c>
      <c r="C25" s="9">
        <f t="shared" si="0"/>
        <v>45933</v>
      </c>
      <c r="D25" t="s">
        <v>45</v>
      </c>
      <c r="E25" t="str">
        <v>Malang</v>
      </c>
      <c r="F25" t="s">
        <v>80</v>
      </c>
      <c r="G25" t="s">
        <v>103</v>
      </c>
      <c r="H25" t="str">
        <v>Video Podcast</v>
      </c>
      <c r="I25" t="s">
        <v>74</v>
      </c>
      <c r="J25" t="str">
        <v>Referral</v>
      </c>
      <c r="K25" t="s">
        <v>23</v>
      </c>
      <c r="L25" t="s">
        <v>104</v>
      </c>
      <c r="M25">
        <v>2</v>
      </c>
      <c r="N25" t="s">
        <v>41</v>
      </c>
      <c r="O25" s="7">
        <v>450000</v>
      </c>
      <c r="P25" s="7">
        <v>67500</v>
      </c>
      <c r="Q25" s="7">
        <v>382500</v>
      </c>
      <c r="R25" s="7">
        <f t="shared" si="1"/>
        <v>382500</v>
      </c>
      <c r="S25" t="s">
        <v>78</v>
      </c>
      <c r="T25" t="str">
        <f t="shared" si="2"/>
        <v>Cash</v>
      </c>
      <c r="U25" t="s">
        <v>34</v>
      </c>
      <c r="V25">
        <v>5</v>
      </c>
      <c r="W25">
        <f t="shared" si="3"/>
        <v>5</v>
      </c>
      <c r="Y25" t="str">
        <f t="shared" si="4"/>
        <v/>
      </c>
      <c r="Z25" t="s">
        <v>60</v>
      </c>
      <c r="AA25" t="s">
        <v>35</v>
      </c>
      <c r="AC25" t="str">
        <f>IF(COUNTIF($A:$A,A25)&gt;1,"Duplicate","Unique")</f>
        <v>Unique</v>
      </c>
    </row>
    <row r="26" spans="1:29" x14ac:dyDescent="0.35">
      <c r="A26" t="s">
        <v>105</v>
      </c>
      <c r="B26" t="s">
        <v>106</v>
      </c>
      <c r="C26" s="9">
        <f t="shared" si="0"/>
        <v>45894</v>
      </c>
      <c r="D26" t="s">
        <v>37</v>
      </c>
      <c r="E26" t="str">
        <v>Bandung</v>
      </c>
      <c r="F26" t="s">
        <v>20</v>
      </c>
      <c r="G26" t="s">
        <v>107</v>
      </c>
      <c r="H26" t="str">
        <v>Product Photoshoot</v>
      </c>
      <c r="I26" t="s">
        <v>54</v>
      </c>
      <c r="J26" t="str">
        <v>Referral</v>
      </c>
      <c r="K26" t="s">
        <v>40</v>
      </c>
      <c r="L26">
        <v>4</v>
      </c>
      <c r="M26">
        <v>4</v>
      </c>
      <c r="N26" t="s">
        <v>32</v>
      </c>
      <c r="O26" s="7">
        <v>540000</v>
      </c>
      <c r="P26" s="7">
        <v>0</v>
      </c>
      <c r="Q26" s="7">
        <v>540000</v>
      </c>
      <c r="R26" s="7">
        <f t="shared" si="1"/>
        <v>540000</v>
      </c>
      <c r="S26" t="s">
        <v>33</v>
      </c>
      <c r="T26" t="str">
        <f t="shared" si="2"/>
        <v>Virtual Account</v>
      </c>
      <c r="U26" t="s">
        <v>34</v>
      </c>
      <c r="W26" t="str">
        <f t="shared" si="3"/>
        <v/>
      </c>
      <c r="Y26" t="str">
        <f t="shared" si="4"/>
        <v/>
      </c>
      <c r="Z26" t="s">
        <v>72</v>
      </c>
      <c r="AA26" t="s">
        <v>35</v>
      </c>
      <c r="AC26" t="str">
        <f>IF(COUNTIF($A:$A,A26)&gt;1,"Duplicate","Unique")</f>
        <v>Unique</v>
      </c>
    </row>
    <row r="27" spans="1:29" x14ac:dyDescent="0.35">
      <c r="A27" t="s">
        <v>108</v>
      </c>
      <c r="B27" s="2">
        <v>45784</v>
      </c>
      <c r="C27" s="9">
        <f t="shared" si="0"/>
        <v>45784</v>
      </c>
      <c r="D27" t="s">
        <v>37</v>
      </c>
      <c r="E27" t="str">
        <v>Bandung</v>
      </c>
      <c r="F27" t="s">
        <v>20</v>
      </c>
      <c r="G27" t="s">
        <v>90</v>
      </c>
      <c r="H27" t="str">
        <v>Voice Over</v>
      </c>
      <c r="I27" t="s">
        <v>39</v>
      </c>
      <c r="J27" t="str">
        <v>Website</v>
      </c>
      <c r="K27" t="s">
        <v>23</v>
      </c>
      <c r="L27">
        <v>1</v>
      </c>
      <c r="M27">
        <v>1</v>
      </c>
      <c r="N27" t="s">
        <v>32</v>
      </c>
      <c r="O27" s="7">
        <v>135000</v>
      </c>
      <c r="P27" s="7">
        <v>20250</v>
      </c>
      <c r="Q27" s="7">
        <v>114750</v>
      </c>
      <c r="R27" s="7">
        <f t="shared" si="1"/>
        <v>114750</v>
      </c>
      <c r="S27" t="s">
        <v>25</v>
      </c>
      <c r="T27" t="str">
        <f t="shared" si="2"/>
        <v>Transfer</v>
      </c>
      <c r="U27" t="s">
        <v>56</v>
      </c>
      <c r="V27">
        <v>4</v>
      </c>
      <c r="W27">
        <f t="shared" si="3"/>
        <v>4</v>
      </c>
      <c r="Y27" t="str">
        <f t="shared" si="4"/>
        <v/>
      </c>
      <c r="Z27" t="s">
        <v>43</v>
      </c>
      <c r="AA27" t="s">
        <v>35</v>
      </c>
      <c r="AC27" t="str">
        <f>IF(COUNTIF($A:$A,A27)&gt;1,"Duplicate","Unique")</f>
        <v>Unique</v>
      </c>
    </row>
    <row r="28" spans="1:29" x14ac:dyDescent="0.35">
      <c r="A28" t="s">
        <v>109</v>
      </c>
      <c r="B28" s="2">
        <v>45861</v>
      </c>
      <c r="C28" s="9">
        <f t="shared" si="0"/>
        <v>45861</v>
      </c>
      <c r="D28" t="s">
        <v>37</v>
      </c>
      <c r="E28" t="str">
        <v>Bandung</v>
      </c>
      <c r="F28" t="s">
        <v>20</v>
      </c>
      <c r="G28" t="s">
        <v>70</v>
      </c>
      <c r="H28" t="str">
        <v>Voice Over</v>
      </c>
      <c r="I28" t="s">
        <v>39</v>
      </c>
      <c r="J28" t="str">
        <v>Website</v>
      </c>
      <c r="K28" t="s">
        <v>47</v>
      </c>
      <c r="L28">
        <v>2</v>
      </c>
      <c r="M28">
        <v>2</v>
      </c>
      <c r="N28" t="s">
        <v>24</v>
      </c>
      <c r="O28" s="7">
        <v>170000</v>
      </c>
      <c r="P28" s="7">
        <v>17000</v>
      </c>
      <c r="Q28" s="7">
        <v>153000</v>
      </c>
      <c r="R28" s="7">
        <f t="shared" si="1"/>
        <v>153000</v>
      </c>
      <c r="S28" t="s">
        <v>33</v>
      </c>
      <c r="T28" t="str">
        <f t="shared" si="2"/>
        <v>Virtual Account</v>
      </c>
      <c r="U28" t="s">
        <v>26</v>
      </c>
      <c r="W28" t="str">
        <f t="shared" si="3"/>
        <v/>
      </c>
      <c r="Y28" t="str">
        <f t="shared" si="4"/>
        <v>Not Provided</v>
      </c>
      <c r="Z28" t="s">
        <v>43</v>
      </c>
      <c r="AC28" t="str">
        <f>IF(COUNTIF($A:$A,A28)&gt;1,"Duplicate","Unique")</f>
        <v>Unique</v>
      </c>
    </row>
    <row r="29" spans="1:29" x14ac:dyDescent="0.35">
      <c r="A29" t="s">
        <v>110</v>
      </c>
      <c r="B29" t="s">
        <v>111</v>
      </c>
      <c r="C29" s="9">
        <f t="shared" si="0"/>
        <v>46020</v>
      </c>
      <c r="D29" t="s">
        <v>37</v>
      </c>
      <c r="E29" t="str">
        <v>Bandung</v>
      </c>
      <c r="F29" t="s">
        <v>30</v>
      </c>
      <c r="G29" t="s">
        <v>103</v>
      </c>
      <c r="H29" t="str">
        <v>Video Podcast</v>
      </c>
      <c r="I29" t="s">
        <v>112</v>
      </c>
      <c r="J29" t="str">
        <v>Marketplace</v>
      </c>
      <c r="K29" t="s">
        <v>40</v>
      </c>
      <c r="L29">
        <v>2</v>
      </c>
      <c r="M29">
        <v>2</v>
      </c>
      <c r="N29" t="s">
        <v>41</v>
      </c>
      <c r="O29" s="7">
        <v>320000</v>
      </c>
      <c r="P29" s="7">
        <v>0</v>
      </c>
      <c r="Q29" s="7">
        <v>320000</v>
      </c>
      <c r="R29" s="7">
        <f t="shared" si="1"/>
        <v>320000</v>
      </c>
      <c r="S29" t="s">
        <v>78</v>
      </c>
      <c r="T29" t="str">
        <f t="shared" si="2"/>
        <v>Cash</v>
      </c>
      <c r="U29" t="s">
        <v>34</v>
      </c>
      <c r="W29" t="str">
        <f t="shared" si="3"/>
        <v/>
      </c>
      <c r="Y29" t="str">
        <f t="shared" si="4"/>
        <v/>
      </c>
      <c r="Z29" t="s">
        <v>60</v>
      </c>
      <c r="AC29" t="str">
        <f>IF(COUNTIF($A:$A,A29)&gt;1,"Duplicate","Unique")</f>
        <v>Unique</v>
      </c>
    </row>
    <row r="30" spans="1:29" x14ac:dyDescent="0.35">
      <c r="A30" t="s">
        <v>113</v>
      </c>
      <c r="B30" s="2">
        <v>45839</v>
      </c>
      <c r="C30" s="9">
        <f t="shared" si="0"/>
        <v>45839</v>
      </c>
      <c r="D30" t="s">
        <v>53</v>
      </c>
      <c r="E30" t="str">
        <v>Surabaya</v>
      </c>
      <c r="F30" t="s">
        <v>59</v>
      </c>
      <c r="G30" t="s">
        <v>107</v>
      </c>
      <c r="H30" t="str">
        <v>Product Photoshoot</v>
      </c>
      <c r="I30" t="s">
        <v>112</v>
      </c>
      <c r="J30" t="str">
        <v>Marketplace</v>
      </c>
      <c r="K30" t="s">
        <v>40</v>
      </c>
      <c r="L30">
        <v>1</v>
      </c>
      <c r="M30">
        <v>1</v>
      </c>
      <c r="N30" t="s">
        <v>32</v>
      </c>
      <c r="O30" s="7">
        <v>190000</v>
      </c>
      <c r="P30" s="7">
        <v>9500</v>
      </c>
      <c r="Q30" s="7">
        <v>180500</v>
      </c>
      <c r="R30" s="7">
        <f t="shared" si="1"/>
        <v>180500</v>
      </c>
      <c r="S30" t="s">
        <v>42</v>
      </c>
      <c r="T30" t="str">
        <f t="shared" si="2"/>
        <v>E-Wallet</v>
      </c>
      <c r="U30" t="s">
        <v>34</v>
      </c>
      <c r="V30">
        <v>5</v>
      </c>
      <c r="W30">
        <f t="shared" si="3"/>
        <v>5</v>
      </c>
      <c r="Y30" t="str">
        <f t="shared" si="4"/>
        <v/>
      </c>
      <c r="Z30" t="s">
        <v>48</v>
      </c>
      <c r="AA30" t="s">
        <v>35</v>
      </c>
      <c r="AC30" t="str">
        <f>IF(COUNTIF($A:$A,A30)&gt;1,"Duplicate","Unique")</f>
        <v>Unique</v>
      </c>
    </row>
    <row r="31" spans="1:29" x14ac:dyDescent="0.35">
      <c r="A31" t="s">
        <v>114</v>
      </c>
      <c r="B31" s="2">
        <v>45929</v>
      </c>
      <c r="C31" s="9">
        <f t="shared" si="0"/>
        <v>45929</v>
      </c>
      <c r="D31" t="s">
        <v>53</v>
      </c>
      <c r="E31" t="str">
        <v>Surabaya</v>
      </c>
      <c r="F31" t="s">
        <v>30</v>
      </c>
      <c r="G31" t="s">
        <v>21</v>
      </c>
      <c r="H31" t="str">
        <v>Content Batch</v>
      </c>
      <c r="I31" t="s">
        <v>112</v>
      </c>
      <c r="J31" t="str">
        <v>Marketplace</v>
      </c>
      <c r="K31" t="s">
        <v>40</v>
      </c>
      <c r="L31">
        <v>1</v>
      </c>
      <c r="M31">
        <v>1</v>
      </c>
      <c r="N31" t="s">
        <v>41</v>
      </c>
      <c r="O31" s="7">
        <v>160000</v>
      </c>
      <c r="P31" s="7">
        <v>0</v>
      </c>
      <c r="Q31" s="7">
        <v>160000</v>
      </c>
      <c r="R31" s="7">
        <f t="shared" si="1"/>
        <v>160000</v>
      </c>
      <c r="S31" t="s">
        <v>78</v>
      </c>
      <c r="T31" t="str">
        <f t="shared" si="2"/>
        <v>Cash</v>
      </c>
      <c r="U31" t="s">
        <v>34</v>
      </c>
      <c r="V31">
        <v>3</v>
      </c>
      <c r="W31">
        <f t="shared" si="3"/>
        <v>3</v>
      </c>
      <c r="Y31" t="str">
        <f t="shared" si="4"/>
        <v/>
      </c>
      <c r="Z31" t="s">
        <v>27</v>
      </c>
      <c r="AA31" t="s">
        <v>94</v>
      </c>
      <c r="AC31" t="str">
        <f>IF(COUNTIF($A:$A,A31)&gt;1,"Duplicate","Unique")</f>
        <v>Unique</v>
      </c>
    </row>
    <row r="32" spans="1:29" x14ac:dyDescent="0.35">
      <c r="A32" t="s">
        <v>115</v>
      </c>
      <c r="B32" s="2">
        <v>45709</v>
      </c>
      <c r="C32" s="9">
        <f t="shared" si="0"/>
        <v>45709</v>
      </c>
      <c r="D32" t="s">
        <v>37</v>
      </c>
      <c r="E32" t="str">
        <v>Bandung</v>
      </c>
      <c r="F32" t="s">
        <v>59</v>
      </c>
      <c r="G32" t="s">
        <v>116</v>
      </c>
      <c r="H32" t="str">
        <v>Video Podcast</v>
      </c>
      <c r="I32" t="s">
        <v>22</v>
      </c>
      <c r="J32" t="str">
        <v>Whatsapp</v>
      </c>
      <c r="K32" t="s">
        <v>23</v>
      </c>
      <c r="L32">
        <v>1</v>
      </c>
      <c r="M32">
        <v>1</v>
      </c>
      <c r="N32" t="s">
        <v>24</v>
      </c>
      <c r="O32" s="7">
        <v>140000</v>
      </c>
      <c r="P32" s="7">
        <v>14000</v>
      </c>
      <c r="Q32" s="7">
        <v>126000</v>
      </c>
      <c r="R32" s="7">
        <f t="shared" si="1"/>
        <v>126000</v>
      </c>
      <c r="S32" t="s">
        <v>42</v>
      </c>
      <c r="T32" t="str">
        <f t="shared" si="2"/>
        <v>E-Wallet</v>
      </c>
      <c r="U32" t="s">
        <v>34</v>
      </c>
      <c r="V32">
        <v>4</v>
      </c>
      <c r="W32">
        <f t="shared" si="3"/>
        <v>4</v>
      </c>
      <c r="Y32" t="str">
        <f t="shared" si="4"/>
        <v/>
      </c>
      <c r="Z32" t="s">
        <v>43</v>
      </c>
      <c r="AA32" t="s">
        <v>94</v>
      </c>
      <c r="AC32" t="str">
        <f>IF(COUNTIF($A:$A,A32)&gt;1,"Duplicate","Unique")</f>
        <v>Unique</v>
      </c>
    </row>
    <row r="33" spans="1:29" x14ac:dyDescent="0.35">
      <c r="A33" t="s">
        <v>117</v>
      </c>
      <c r="B33" s="2">
        <v>45716</v>
      </c>
      <c r="C33" s="9">
        <f t="shared" si="0"/>
        <v>45716</v>
      </c>
      <c r="D33" t="s">
        <v>58</v>
      </c>
      <c r="E33" t="str">
        <v>Jakarta</v>
      </c>
      <c r="F33" t="s">
        <v>30</v>
      </c>
      <c r="G33" t="s">
        <v>99</v>
      </c>
      <c r="H33" t="str">
        <v>Live Streaming</v>
      </c>
      <c r="I33" t="s">
        <v>84</v>
      </c>
      <c r="J33" t="str">
        <v>Instagram</v>
      </c>
      <c r="K33" t="s">
        <v>71</v>
      </c>
      <c r="L33">
        <v>1</v>
      </c>
      <c r="M33">
        <v>1</v>
      </c>
      <c r="N33" t="s">
        <v>41</v>
      </c>
      <c r="O33" s="7">
        <v>160000</v>
      </c>
      <c r="P33" s="7">
        <v>0</v>
      </c>
      <c r="Q33" s="7">
        <v>160000</v>
      </c>
      <c r="R33" s="7">
        <f t="shared" si="1"/>
        <v>160000</v>
      </c>
      <c r="S33" t="s">
        <v>25</v>
      </c>
      <c r="T33" t="str">
        <f t="shared" si="2"/>
        <v>Transfer</v>
      </c>
      <c r="U33" t="s">
        <v>34</v>
      </c>
      <c r="V33">
        <v>4</v>
      </c>
      <c r="W33">
        <f t="shared" si="3"/>
        <v>4</v>
      </c>
      <c r="Y33" t="str">
        <f t="shared" si="4"/>
        <v/>
      </c>
      <c r="Z33" t="s">
        <v>48</v>
      </c>
      <c r="AC33" t="str">
        <f>IF(COUNTIF($A:$A,A33)&gt;1,"Duplicate","Unique")</f>
        <v>Unique</v>
      </c>
    </row>
    <row r="34" spans="1:29" x14ac:dyDescent="0.35">
      <c r="A34" t="s">
        <v>118</v>
      </c>
      <c r="B34" s="2">
        <v>45975</v>
      </c>
      <c r="C34" s="9">
        <f t="shared" si="0"/>
        <v>45975</v>
      </c>
      <c r="D34" t="s">
        <v>58</v>
      </c>
      <c r="E34" t="str">
        <v>Jakarta</v>
      </c>
      <c r="F34" t="s">
        <v>80</v>
      </c>
      <c r="G34" t="s">
        <v>119</v>
      </c>
      <c r="H34" t="str">
        <v>Content Batch</v>
      </c>
      <c r="I34" t="s">
        <v>84</v>
      </c>
      <c r="J34" t="str">
        <v>Instagram</v>
      </c>
      <c r="K34" t="s">
        <v>23</v>
      </c>
      <c r="L34" t="s">
        <v>88</v>
      </c>
      <c r="M34">
        <v>1</v>
      </c>
      <c r="N34" t="s">
        <v>55</v>
      </c>
      <c r="O34" s="7">
        <v>265000</v>
      </c>
      <c r="P34" s="7">
        <v>0</v>
      </c>
      <c r="Q34" s="7">
        <v>265000</v>
      </c>
      <c r="R34" s="7">
        <f t="shared" si="1"/>
        <v>265000</v>
      </c>
      <c r="S34" t="s">
        <v>33</v>
      </c>
      <c r="T34" t="str">
        <f t="shared" si="2"/>
        <v>Virtual Account</v>
      </c>
      <c r="U34" t="s">
        <v>26</v>
      </c>
      <c r="V34">
        <v>4</v>
      </c>
      <c r="W34">
        <f t="shared" si="3"/>
        <v>4</v>
      </c>
      <c r="X34" t="s">
        <v>85</v>
      </c>
      <c r="Y34" t="str">
        <f t="shared" si="4"/>
        <v>Budget issue</v>
      </c>
      <c r="Z34" t="s">
        <v>27</v>
      </c>
      <c r="AC34" t="str">
        <f>IF(COUNTIF($A:$A,A34)&gt;1,"Duplicate","Unique")</f>
        <v>Unique</v>
      </c>
    </row>
    <row r="35" spans="1:29" x14ac:dyDescent="0.35">
      <c r="A35" t="s">
        <v>120</v>
      </c>
      <c r="B35" s="2">
        <v>45978</v>
      </c>
      <c r="C35" s="9">
        <f t="shared" si="0"/>
        <v>45978</v>
      </c>
      <c r="D35" t="s">
        <v>45</v>
      </c>
      <c r="E35" t="str">
        <v>Malang</v>
      </c>
      <c r="F35" t="s">
        <v>46</v>
      </c>
      <c r="G35" t="s">
        <v>99</v>
      </c>
      <c r="H35" t="str">
        <v>Live Streaming</v>
      </c>
      <c r="I35" t="s">
        <v>84</v>
      </c>
      <c r="J35" t="str">
        <v>Instagram</v>
      </c>
      <c r="K35" t="s">
        <v>71</v>
      </c>
      <c r="L35">
        <v>4</v>
      </c>
      <c r="M35">
        <v>4</v>
      </c>
      <c r="N35" t="s">
        <v>55</v>
      </c>
      <c r="O35" s="7">
        <v>1000000</v>
      </c>
      <c r="P35" s="7">
        <v>0</v>
      </c>
      <c r="Q35" s="7">
        <v>1000000</v>
      </c>
      <c r="R35" s="7">
        <f t="shared" si="1"/>
        <v>1000000</v>
      </c>
      <c r="S35" t="s">
        <v>42</v>
      </c>
      <c r="T35" t="str">
        <f t="shared" si="2"/>
        <v>E-Wallet</v>
      </c>
      <c r="U35" t="s">
        <v>34</v>
      </c>
      <c r="V35">
        <v>3</v>
      </c>
      <c r="W35">
        <f t="shared" si="3"/>
        <v>3</v>
      </c>
      <c r="Y35" t="str">
        <f t="shared" si="4"/>
        <v/>
      </c>
      <c r="Z35" t="s">
        <v>43</v>
      </c>
      <c r="AC35" t="str">
        <f>IF(COUNTIF($A:$A,A35)&gt;1,"Duplicate","Unique")</f>
        <v>Unique</v>
      </c>
    </row>
    <row r="36" spans="1:29" x14ac:dyDescent="0.35">
      <c r="A36" t="s">
        <v>121</v>
      </c>
      <c r="B36" s="2">
        <v>45699</v>
      </c>
      <c r="C36" s="9">
        <f t="shared" si="0"/>
        <v>45699</v>
      </c>
      <c r="D36" t="s">
        <v>45</v>
      </c>
      <c r="E36" t="str">
        <v>Malang</v>
      </c>
      <c r="F36" t="s">
        <v>20</v>
      </c>
      <c r="G36" t="s">
        <v>99</v>
      </c>
      <c r="H36" t="str">
        <v>Live Streaming</v>
      </c>
      <c r="I36" t="s">
        <v>22</v>
      </c>
      <c r="J36" t="str">
        <v>Whatsapp</v>
      </c>
      <c r="K36" t="s">
        <v>71</v>
      </c>
      <c r="L36">
        <v>3</v>
      </c>
      <c r="M36">
        <v>3</v>
      </c>
      <c r="N36" t="s">
        <v>24</v>
      </c>
      <c r="O36" s="7">
        <v>255000</v>
      </c>
      <c r="P36" s="7">
        <v>38250</v>
      </c>
      <c r="Q36" s="7">
        <v>216750</v>
      </c>
      <c r="R36" s="7">
        <f t="shared" si="1"/>
        <v>216750</v>
      </c>
      <c r="S36" t="s">
        <v>25</v>
      </c>
      <c r="T36" t="str">
        <f t="shared" si="2"/>
        <v>Transfer</v>
      </c>
      <c r="U36" t="s">
        <v>34</v>
      </c>
      <c r="W36" t="str">
        <f t="shared" si="3"/>
        <v/>
      </c>
      <c r="Y36" t="str">
        <f t="shared" si="4"/>
        <v/>
      </c>
      <c r="Z36" t="s">
        <v>43</v>
      </c>
      <c r="AC36" t="str">
        <f>IF(COUNTIF($A:$A,A36)&gt;1,"Duplicate","Unique")</f>
        <v>Unique</v>
      </c>
    </row>
    <row r="37" spans="1:29" x14ac:dyDescent="0.35">
      <c r="A37" t="s">
        <v>122</v>
      </c>
      <c r="B37" s="2">
        <v>45836</v>
      </c>
      <c r="C37" s="9">
        <f t="shared" si="0"/>
        <v>45836</v>
      </c>
      <c r="D37" t="s">
        <v>123</v>
      </c>
      <c r="E37" t="str">
        <v>Yogyakarta</v>
      </c>
      <c r="F37" t="s">
        <v>59</v>
      </c>
      <c r="G37" t="s">
        <v>31</v>
      </c>
      <c r="H37" t="str">
        <v>Product Photoshoot</v>
      </c>
      <c r="I37" t="s">
        <v>84</v>
      </c>
      <c r="J37" t="str">
        <v>Instagram</v>
      </c>
      <c r="K37" t="s">
        <v>23</v>
      </c>
      <c r="L37" t="s">
        <v>124</v>
      </c>
      <c r="M37">
        <v>3</v>
      </c>
      <c r="N37" t="s">
        <v>32</v>
      </c>
      <c r="O37" s="7">
        <v>570000</v>
      </c>
      <c r="P37" s="7">
        <v>57000</v>
      </c>
      <c r="Q37" s="7">
        <v>513000</v>
      </c>
      <c r="R37" s="7">
        <f t="shared" si="1"/>
        <v>513000</v>
      </c>
      <c r="S37" t="s">
        <v>78</v>
      </c>
      <c r="T37" t="str">
        <f t="shared" si="2"/>
        <v>Cash</v>
      </c>
      <c r="U37" t="s">
        <v>34</v>
      </c>
      <c r="V37">
        <v>3</v>
      </c>
      <c r="W37">
        <f t="shared" si="3"/>
        <v>3</v>
      </c>
      <c r="Y37" t="str">
        <f t="shared" si="4"/>
        <v/>
      </c>
      <c r="Z37" t="s">
        <v>43</v>
      </c>
      <c r="AA37" t="s">
        <v>96</v>
      </c>
      <c r="AC37" t="str">
        <f>IF(COUNTIF($A:$A,A37)&gt;1,"Duplicate","Unique")</f>
        <v>Unique</v>
      </c>
    </row>
    <row r="38" spans="1:29" x14ac:dyDescent="0.35">
      <c r="A38" t="s">
        <v>125</v>
      </c>
      <c r="B38" t="s">
        <v>126</v>
      </c>
      <c r="C38" s="9">
        <f t="shared" si="0"/>
        <v>45869</v>
      </c>
      <c r="D38" t="s">
        <v>58</v>
      </c>
      <c r="E38" t="str">
        <v>Jakarta</v>
      </c>
      <c r="F38" t="s">
        <v>46</v>
      </c>
      <c r="G38" t="s">
        <v>90</v>
      </c>
      <c r="H38" t="str">
        <v>Voice Over</v>
      </c>
      <c r="I38" t="s">
        <v>22</v>
      </c>
      <c r="J38" t="str">
        <v>Whatsapp</v>
      </c>
      <c r="K38" t="s">
        <v>71</v>
      </c>
      <c r="L38">
        <v>1</v>
      </c>
      <c r="M38">
        <v>1</v>
      </c>
      <c r="N38" t="s">
        <v>41</v>
      </c>
      <c r="O38" s="7">
        <v>210000</v>
      </c>
      <c r="P38" s="7">
        <v>21000</v>
      </c>
      <c r="Q38" s="7">
        <v>189000</v>
      </c>
      <c r="R38" s="7">
        <f t="shared" si="1"/>
        <v>189000</v>
      </c>
      <c r="S38" t="s">
        <v>78</v>
      </c>
      <c r="T38" t="str">
        <f t="shared" si="2"/>
        <v>Cash</v>
      </c>
      <c r="U38" t="s">
        <v>34</v>
      </c>
      <c r="V38">
        <v>4</v>
      </c>
      <c r="W38">
        <f t="shared" si="3"/>
        <v>4</v>
      </c>
      <c r="Y38" t="str">
        <f t="shared" si="4"/>
        <v/>
      </c>
      <c r="Z38" t="s">
        <v>72</v>
      </c>
      <c r="AC38" t="str">
        <f>IF(COUNTIF($A:$A,A38)&gt;1,"Duplicate","Unique")</f>
        <v>Unique</v>
      </c>
    </row>
    <row r="39" spans="1:29" x14ac:dyDescent="0.35">
      <c r="A39" t="s">
        <v>127</v>
      </c>
      <c r="B39" s="2">
        <v>45773</v>
      </c>
      <c r="C39" s="9">
        <f t="shared" si="0"/>
        <v>45773</v>
      </c>
      <c r="D39" t="s">
        <v>58</v>
      </c>
      <c r="E39" t="str">
        <v>Jakarta</v>
      </c>
      <c r="F39" t="s">
        <v>30</v>
      </c>
      <c r="G39" t="s">
        <v>38</v>
      </c>
      <c r="H39" t="str">
        <v>Podcast Recording</v>
      </c>
      <c r="I39" t="s">
        <v>39</v>
      </c>
      <c r="J39" t="str">
        <v>Website</v>
      </c>
      <c r="K39" t="s">
        <v>66</v>
      </c>
      <c r="L39">
        <v>3</v>
      </c>
      <c r="M39">
        <v>3</v>
      </c>
      <c r="N39" t="s">
        <v>41</v>
      </c>
      <c r="O39" s="7">
        <v>480000</v>
      </c>
      <c r="P39" s="7">
        <v>24000</v>
      </c>
      <c r="Q39" s="7">
        <v>456000</v>
      </c>
      <c r="R39" s="7">
        <f t="shared" si="1"/>
        <v>456000</v>
      </c>
      <c r="S39" t="s">
        <v>33</v>
      </c>
      <c r="T39" t="str">
        <f t="shared" si="2"/>
        <v>Virtual Account</v>
      </c>
      <c r="U39" t="s">
        <v>56</v>
      </c>
      <c r="W39" t="str">
        <f t="shared" si="3"/>
        <v/>
      </c>
      <c r="Y39" t="str">
        <f t="shared" si="4"/>
        <v/>
      </c>
      <c r="Z39" t="s">
        <v>43</v>
      </c>
      <c r="AA39" t="s">
        <v>96</v>
      </c>
      <c r="AC39" t="str">
        <f>IF(COUNTIF($A:$A,A39)&gt;1,"Duplicate","Unique")</f>
        <v>Unique</v>
      </c>
    </row>
    <row r="40" spans="1:29" x14ac:dyDescent="0.35">
      <c r="A40" t="s">
        <v>128</v>
      </c>
      <c r="B40" s="2">
        <v>45832</v>
      </c>
      <c r="C40" s="9">
        <f t="shared" si="0"/>
        <v>45832</v>
      </c>
      <c r="D40" t="s">
        <v>45</v>
      </c>
      <c r="E40" t="str">
        <v>Malang</v>
      </c>
      <c r="F40" t="s">
        <v>59</v>
      </c>
      <c r="G40" t="s">
        <v>38</v>
      </c>
      <c r="H40" t="str">
        <v>Podcast Recording</v>
      </c>
      <c r="I40" t="s">
        <v>22</v>
      </c>
      <c r="J40" t="str">
        <v>Whatsapp</v>
      </c>
      <c r="K40" t="s">
        <v>40</v>
      </c>
      <c r="L40">
        <v>2</v>
      </c>
      <c r="M40">
        <v>2</v>
      </c>
      <c r="N40" t="s">
        <v>32</v>
      </c>
      <c r="O40" s="7">
        <v>380000</v>
      </c>
      <c r="P40" s="7">
        <v>0</v>
      </c>
      <c r="Q40" s="7">
        <v>380000</v>
      </c>
      <c r="R40" s="7">
        <f t="shared" si="1"/>
        <v>380000</v>
      </c>
      <c r="S40" t="s">
        <v>78</v>
      </c>
      <c r="T40" t="str">
        <f t="shared" si="2"/>
        <v>Cash</v>
      </c>
      <c r="U40" t="s">
        <v>34</v>
      </c>
      <c r="V40">
        <v>4</v>
      </c>
      <c r="W40">
        <f t="shared" si="3"/>
        <v>4</v>
      </c>
      <c r="Y40" t="str">
        <f t="shared" si="4"/>
        <v/>
      </c>
      <c r="Z40" t="s">
        <v>43</v>
      </c>
      <c r="AA40" t="s">
        <v>49</v>
      </c>
      <c r="AC40" t="str">
        <f>IF(COUNTIF($A:$A,A40)&gt;1,"Duplicate","Unique")</f>
        <v>Unique</v>
      </c>
    </row>
    <row r="41" spans="1:29" x14ac:dyDescent="0.35">
      <c r="A41" t="s">
        <v>129</v>
      </c>
      <c r="B41" t="s">
        <v>130</v>
      </c>
      <c r="C41" s="9">
        <f t="shared" si="0"/>
        <v>46019</v>
      </c>
      <c r="D41" t="s">
        <v>69</v>
      </c>
      <c r="E41" t="str">
        <v>Yogyakarta</v>
      </c>
      <c r="F41" t="s">
        <v>30</v>
      </c>
      <c r="G41" t="s">
        <v>21</v>
      </c>
      <c r="H41" t="str">
        <v>Content Batch</v>
      </c>
      <c r="I41" t="s">
        <v>39</v>
      </c>
      <c r="J41" t="str">
        <v>Website</v>
      </c>
      <c r="K41" t="s">
        <v>66</v>
      </c>
      <c r="L41">
        <v>2</v>
      </c>
      <c r="M41">
        <v>2</v>
      </c>
      <c r="N41" t="s">
        <v>41</v>
      </c>
      <c r="O41" s="7">
        <v>320000</v>
      </c>
      <c r="P41" s="7">
        <v>0</v>
      </c>
      <c r="Q41" s="7">
        <v>320000</v>
      </c>
      <c r="R41" s="7">
        <f t="shared" si="1"/>
        <v>320000</v>
      </c>
      <c r="S41" t="s">
        <v>42</v>
      </c>
      <c r="T41" t="str">
        <f t="shared" si="2"/>
        <v>E-Wallet</v>
      </c>
      <c r="U41" t="s">
        <v>56</v>
      </c>
      <c r="W41" t="str">
        <f t="shared" si="3"/>
        <v/>
      </c>
      <c r="Y41" t="str">
        <f t="shared" si="4"/>
        <v/>
      </c>
      <c r="Z41" t="s">
        <v>27</v>
      </c>
      <c r="AA41" t="s">
        <v>35</v>
      </c>
      <c r="AC41" t="str">
        <f>IF(COUNTIF($A:$A,A41)&gt;1,"Duplicate","Unique")</f>
        <v>Unique</v>
      </c>
    </row>
    <row r="42" spans="1:29" x14ac:dyDescent="0.35">
      <c r="A42" t="s">
        <v>131</v>
      </c>
      <c r="B42" s="2">
        <v>45977</v>
      </c>
      <c r="C42" s="9">
        <f t="shared" si="0"/>
        <v>45977</v>
      </c>
      <c r="D42" t="s">
        <v>69</v>
      </c>
      <c r="E42" t="str">
        <v>Yogyakarta</v>
      </c>
      <c r="F42" t="s">
        <v>20</v>
      </c>
      <c r="G42" t="s">
        <v>31</v>
      </c>
      <c r="H42" t="str">
        <v>Product Photoshoot</v>
      </c>
      <c r="I42" t="s">
        <v>112</v>
      </c>
      <c r="J42" t="str">
        <v>Marketplace</v>
      </c>
      <c r="K42" t="s">
        <v>66</v>
      </c>
      <c r="L42">
        <v>1</v>
      </c>
      <c r="M42">
        <v>1</v>
      </c>
      <c r="N42" t="s">
        <v>24</v>
      </c>
      <c r="O42" s="7">
        <v>85000</v>
      </c>
      <c r="P42" s="7">
        <v>0</v>
      </c>
      <c r="Q42" s="7">
        <v>85000</v>
      </c>
      <c r="R42" s="7">
        <f t="shared" si="1"/>
        <v>85000</v>
      </c>
      <c r="S42" t="s">
        <v>78</v>
      </c>
      <c r="T42" t="str">
        <f t="shared" si="2"/>
        <v>Cash</v>
      </c>
      <c r="U42" t="s">
        <v>56</v>
      </c>
      <c r="V42">
        <v>5</v>
      </c>
      <c r="W42">
        <f t="shared" si="3"/>
        <v>5</v>
      </c>
      <c r="Y42" t="str">
        <f t="shared" si="4"/>
        <v/>
      </c>
      <c r="Z42" t="s">
        <v>72</v>
      </c>
      <c r="AA42" t="s">
        <v>94</v>
      </c>
      <c r="AC42" t="str">
        <f>IF(COUNTIF($A:$A,A42)&gt;1,"Duplicate","Unique")</f>
        <v>Unique</v>
      </c>
    </row>
    <row r="43" spans="1:29" x14ac:dyDescent="0.35">
      <c r="A43" t="s">
        <v>132</v>
      </c>
      <c r="B43" s="2">
        <v>45824</v>
      </c>
      <c r="C43" s="9">
        <f t="shared" si="0"/>
        <v>45824</v>
      </c>
      <c r="D43" t="s">
        <v>58</v>
      </c>
      <c r="E43" t="str">
        <v>Jakarta</v>
      </c>
      <c r="F43" t="s">
        <v>59</v>
      </c>
      <c r="G43" t="s">
        <v>31</v>
      </c>
      <c r="H43" t="str">
        <v>Product Photoshoot</v>
      </c>
      <c r="I43" t="s">
        <v>22</v>
      </c>
      <c r="J43" t="str">
        <v>Whatsapp</v>
      </c>
      <c r="K43" t="s">
        <v>66</v>
      </c>
      <c r="L43">
        <v>3</v>
      </c>
      <c r="M43">
        <v>3</v>
      </c>
      <c r="N43" t="s">
        <v>55</v>
      </c>
      <c r="O43" s="7">
        <v>645000</v>
      </c>
      <c r="P43" s="7">
        <v>0</v>
      </c>
      <c r="Q43" s="7">
        <v>645000</v>
      </c>
      <c r="R43" s="7">
        <f t="shared" si="1"/>
        <v>645000</v>
      </c>
      <c r="S43" t="s">
        <v>78</v>
      </c>
      <c r="T43" t="str">
        <f t="shared" si="2"/>
        <v>Cash</v>
      </c>
      <c r="U43" t="s">
        <v>56</v>
      </c>
      <c r="V43">
        <v>4</v>
      </c>
      <c r="W43">
        <f t="shared" si="3"/>
        <v>4</v>
      </c>
      <c r="Y43" t="str">
        <f t="shared" si="4"/>
        <v/>
      </c>
      <c r="Z43" t="s">
        <v>43</v>
      </c>
      <c r="AC43" t="str">
        <f>IF(COUNTIF($A:$A,A43)&gt;1,"Duplicate","Unique")</f>
        <v>Unique</v>
      </c>
    </row>
    <row r="44" spans="1:29" x14ac:dyDescent="0.35">
      <c r="A44" t="s">
        <v>133</v>
      </c>
      <c r="B44" t="s">
        <v>134</v>
      </c>
      <c r="C44" s="9">
        <f t="shared" si="0"/>
        <v>45805</v>
      </c>
      <c r="D44" t="s">
        <v>45</v>
      </c>
      <c r="E44" t="str">
        <v>Malang</v>
      </c>
      <c r="F44" t="s">
        <v>46</v>
      </c>
      <c r="G44" t="s">
        <v>38</v>
      </c>
      <c r="H44" t="str">
        <v>Podcast Recording</v>
      </c>
      <c r="I44" t="s">
        <v>54</v>
      </c>
      <c r="J44" t="str">
        <v>Referral</v>
      </c>
      <c r="K44" t="s">
        <v>40</v>
      </c>
      <c r="L44">
        <v>2</v>
      </c>
      <c r="M44">
        <v>2</v>
      </c>
      <c r="N44" t="s">
        <v>41</v>
      </c>
      <c r="O44" s="7">
        <v>420000</v>
      </c>
      <c r="P44" s="7">
        <v>21000</v>
      </c>
      <c r="Q44" s="7">
        <v>399000</v>
      </c>
      <c r="R44" s="7">
        <f t="shared" si="1"/>
        <v>399000</v>
      </c>
      <c r="S44" t="s">
        <v>33</v>
      </c>
      <c r="T44" t="str">
        <f t="shared" si="2"/>
        <v>Virtual Account</v>
      </c>
      <c r="U44" t="s">
        <v>26</v>
      </c>
      <c r="W44" t="str">
        <f t="shared" si="3"/>
        <v/>
      </c>
      <c r="Y44" t="str">
        <f t="shared" si="4"/>
        <v>Not Provided</v>
      </c>
      <c r="Z44" t="s">
        <v>72</v>
      </c>
      <c r="AC44" t="str">
        <f>IF(COUNTIF($A:$A,A44)&gt;1,"Duplicate","Unique")</f>
        <v>Unique</v>
      </c>
    </row>
    <row r="45" spans="1:29" x14ac:dyDescent="0.35">
      <c r="A45" t="s">
        <v>135</v>
      </c>
      <c r="B45" s="2">
        <v>45947</v>
      </c>
      <c r="C45" s="9">
        <f t="shared" si="0"/>
        <v>45947</v>
      </c>
      <c r="D45" t="s">
        <v>58</v>
      </c>
      <c r="E45" t="str">
        <v>Jakarta</v>
      </c>
      <c r="F45" t="s">
        <v>80</v>
      </c>
      <c r="G45" t="s">
        <v>21</v>
      </c>
      <c r="H45" t="str">
        <v>Content Batch</v>
      </c>
      <c r="I45" t="s">
        <v>54</v>
      </c>
      <c r="J45" t="str">
        <v>Referral</v>
      </c>
      <c r="K45" t="s">
        <v>40</v>
      </c>
      <c r="L45">
        <v>4</v>
      </c>
      <c r="M45">
        <v>4</v>
      </c>
      <c r="N45" t="s">
        <v>41</v>
      </c>
      <c r="O45" s="7">
        <v>900000</v>
      </c>
      <c r="P45" s="7">
        <v>0</v>
      </c>
      <c r="Q45" s="7">
        <v>900000</v>
      </c>
      <c r="R45" s="7">
        <f t="shared" si="1"/>
        <v>900000</v>
      </c>
      <c r="S45" t="s">
        <v>42</v>
      </c>
      <c r="T45" t="str">
        <f t="shared" si="2"/>
        <v>E-Wallet</v>
      </c>
      <c r="U45" t="s">
        <v>56</v>
      </c>
      <c r="V45">
        <v>5</v>
      </c>
      <c r="W45">
        <f t="shared" si="3"/>
        <v>5</v>
      </c>
      <c r="Y45" t="str">
        <f t="shared" si="4"/>
        <v/>
      </c>
      <c r="Z45" t="s">
        <v>48</v>
      </c>
      <c r="AC45" t="str">
        <f>IF(COUNTIF($A:$A,A45)&gt;1,"Duplicate","Unique")</f>
        <v>Unique</v>
      </c>
    </row>
    <row r="46" spans="1:29" x14ac:dyDescent="0.35">
      <c r="A46" t="s">
        <v>136</v>
      </c>
      <c r="B46" t="s">
        <v>137</v>
      </c>
      <c r="C46" s="9">
        <f t="shared" si="0"/>
        <v>45844</v>
      </c>
      <c r="D46" t="s">
        <v>37</v>
      </c>
      <c r="E46" t="str">
        <v>Bandung</v>
      </c>
      <c r="F46" t="s">
        <v>20</v>
      </c>
      <c r="G46" t="s">
        <v>31</v>
      </c>
      <c r="H46" t="str">
        <v>Product Photoshoot</v>
      </c>
      <c r="I46" t="s">
        <v>22</v>
      </c>
      <c r="J46" t="str">
        <v>Whatsapp</v>
      </c>
      <c r="K46" t="s">
        <v>66</v>
      </c>
      <c r="L46">
        <v>1</v>
      </c>
      <c r="M46">
        <v>1</v>
      </c>
      <c r="N46" t="s">
        <v>41</v>
      </c>
      <c r="O46" s="7">
        <v>120000</v>
      </c>
      <c r="P46" s="7">
        <v>0</v>
      </c>
      <c r="Q46" s="7">
        <v>120000</v>
      </c>
      <c r="R46" s="7">
        <f t="shared" si="1"/>
        <v>120000</v>
      </c>
      <c r="S46" t="s">
        <v>42</v>
      </c>
      <c r="T46" t="str">
        <f t="shared" si="2"/>
        <v>E-Wallet</v>
      </c>
      <c r="U46" t="s">
        <v>56</v>
      </c>
      <c r="V46">
        <v>4</v>
      </c>
      <c r="W46">
        <f t="shared" si="3"/>
        <v>4</v>
      </c>
      <c r="Y46" t="str">
        <f t="shared" si="4"/>
        <v/>
      </c>
      <c r="Z46" t="s">
        <v>43</v>
      </c>
      <c r="AA46" t="s">
        <v>35</v>
      </c>
      <c r="AC46" t="str">
        <f>IF(COUNTIF($A:$A,A46)&gt;1,"Duplicate","Unique")</f>
        <v>Unique</v>
      </c>
    </row>
    <row r="47" spans="1:29" x14ac:dyDescent="0.35">
      <c r="A47" t="s">
        <v>138</v>
      </c>
      <c r="B47" s="2">
        <v>45943</v>
      </c>
      <c r="C47" s="9">
        <f t="shared" si="0"/>
        <v>45943</v>
      </c>
      <c r="D47" t="s">
        <v>53</v>
      </c>
      <c r="E47" t="str">
        <v>Surabaya</v>
      </c>
      <c r="F47" t="s">
        <v>20</v>
      </c>
      <c r="G47" t="s">
        <v>99</v>
      </c>
      <c r="H47" t="str">
        <v>Live Streaming</v>
      </c>
      <c r="I47" t="s">
        <v>84</v>
      </c>
      <c r="J47" t="str">
        <v>Instagram</v>
      </c>
      <c r="K47" t="s">
        <v>40</v>
      </c>
      <c r="L47">
        <v>3</v>
      </c>
      <c r="M47">
        <v>3</v>
      </c>
      <c r="N47" t="s">
        <v>41</v>
      </c>
      <c r="O47" s="7">
        <v>360000</v>
      </c>
      <c r="P47" s="7">
        <v>36000</v>
      </c>
      <c r="Q47" s="7">
        <v>324000</v>
      </c>
      <c r="R47" s="7">
        <f t="shared" si="1"/>
        <v>324000</v>
      </c>
      <c r="S47" t="s">
        <v>78</v>
      </c>
      <c r="T47" t="str">
        <f t="shared" si="2"/>
        <v>Cash</v>
      </c>
      <c r="U47" t="s">
        <v>34</v>
      </c>
      <c r="V47">
        <v>4</v>
      </c>
      <c r="W47">
        <f t="shared" si="3"/>
        <v>4</v>
      </c>
      <c r="Y47" t="str">
        <f t="shared" si="4"/>
        <v/>
      </c>
      <c r="Z47" t="s">
        <v>43</v>
      </c>
      <c r="AA47" t="s">
        <v>35</v>
      </c>
      <c r="AC47" t="str">
        <f>IF(COUNTIF($A:$A,A47)&gt;1,"Duplicate","Unique")</f>
        <v>Unique</v>
      </c>
    </row>
    <row r="48" spans="1:29" x14ac:dyDescent="0.35">
      <c r="A48" t="s">
        <v>139</v>
      </c>
      <c r="B48" s="2">
        <v>46016</v>
      </c>
      <c r="C48" s="9">
        <f t="shared" si="0"/>
        <v>46016</v>
      </c>
      <c r="D48" t="s">
        <v>53</v>
      </c>
      <c r="E48" t="str">
        <v>Surabaya</v>
      </c>
      <c r="F48" t="s">
        <v>30</v>
      </c>
      <c r="G48" t="s">
        <v>38</v>
      </c>
      <c r="H48" t="str">
        <v>Podcast Recording</v>
      </c>
      <c r="I48" t="s">
        <v>39</v>
      </c>
      <c r="J48" t="str">
        <v>Website</v>
      </c>
      <c r="K48" t="s">
        <v>47</v>
      </c>
      <c r="L48">
        <v>1</v>
      </c>
      <c r="M48">
        <v>1</v>
      </c>
      <c r="N48" t="s">
        <v>24</v>
      </c>
      <c r="O48" s="7">
        <v>125000</v>
      </c>
      <c r="P48" s="7">
        <v>0</v>
      </c>
      <c r="Q48" s="7">
        <v>125000</v>
      </c>
      <c r="R48" s="7">
        <f t="shared" si="1"/>
        <v>125000</v>
      </c>
      <c r="S48" t="s">
        <v>33</v>
      </c>
      <c r="T48" t="str">
        <f t="shared" si="2"/>
        <v>Virtual Account</v>
      </c>
      <c r="U48" t="s">
        <v>34</v>
      </c>
      <c r="V48">
        <v>5</v>
      </c>
      <c r="W48">
        <f t="shared" si="3"/>
        <v>5</v>
      </c>
      <c r="Y48" t="str">
        <f t="shared" si="4"/>
        <v/>
      </c>
      <c r="Z48" t="s">
        <v>48</v>
      </c>
      <c r="AC48" t="str">
        <f>IF(COUNTIF($A:$A,A48)&gt;1,"Duplicate","Unique")</f>
        <v>Unique</v>
      </c>
    </row>
    <row r="49" spans="1:29" x14ac:dyDescent="0.35">
      <c r="A49" t="s">
        <v>140</v>
      </c>
      <c r="B49" t="s">
        <v>141</v>
      </c>
      <c r="C49" s="9">
        <f t="shared" si="0"/>
        <v>45866</v>
      </c>
      <c r="D49" t="s">
        <v>142</v>
      </c>
      <c r="E49" t="str">
        <v>Surabaya</v>
      </c>
      <c r="F49" t="s">
        <v>20</v>
      </c>
      <c r="G49" t="s">
        <v>21</v>
      </c>
      <c r="H49" t="str">
        <v>Content Batch</v>
      </c>
      <c r="I49" t="s">
        <v>22</v>
      </c>
      <c r="J49" t="str">
        <v>Whatsapp</v>
      </c>
      <c r="K49" t="s">
        <v>23</v>
      </c>
      <c r="L49">
        <v>1</v>
      </c>
      <c r="M49">
        <v>1</v>
      </c>
      <c r="N49" t="s">
        <v>41</v>
      </c>
      <c r="O49" s="7">
        <v>120000</v>
      </c>
      <c r="P49" s="7">
        <v>12000</v>
      </c>
      <c r="Q49" s="7">
        <v>108000</v>
      </c>
      <c r="R49" s="7">
        <f t="shared" si="1"/>
        <v>108000</v>
      </c>
      <c r="S49" t="s">
        <v>42</v>
      </c>
      <c r="T49" t="str">
        <f t="shared" si="2"/>
        <v>E-Wallet</v>
      </c>
      <c r="U49" t="s">
        <v>34</v>
      </c>
      <c r="V49">
        <v>5</v>
      </c>
      <c r="W49">
        <f t="shared" si="3"/>
        <v>5</v>
      </c>
      <c r="Y49" t="str">
        <f t="shared" si="4"/>
        <v/>
      </c>
      <c r="Z49" t="s">
        <v>72</v>
      </c>
      <c r="AC49" t="str">
        <f>IF(COUNTIF($A:$A,A49)&gt;1,"Duplicate","Unique")</f>
        <v>Unique</v>
      </c>
    </row>
    <row r="50" spans="1:29" x14ac:dyDescent="0.35">
      <c r="A50" t="s">
        <v>143</v>
      </c>
      <c r="B50" s="2">
        <v>45683</v>
      </c>
      <c r="C50" s="9">
        <f t="shared" si="0"/>
        <v>45683</v>
      </c>
      <c r="D50" t="s">
        <v>53</v>
      </c>
      <c r="E50" t="str">
        <v>Surabaya</v>
      </c>
      <c r="F50" t="s">
        <v>46</v>
      </c>
      <c r="G50" t="s">
        <v>103</v>
      </c>
      <c r="H50" t="str">
        <v>Video Podcast</v>
      </c>
      <c r="I50" t="s">
        <v>112</v>
      </c>
      <c r="J50" t="str">
        <v>Marketplace</v>
      </c>
      <c r="K50" t="s">
        <v>23</v>
      </c>
      <c r="L50">
        <v>1</v>
      </c>
      <c r="M50">
        <v>1</v>
      </c>
      <c r="N50" t="s">
        <v>55</v>
      </c>
      <c r="O50" s="7">
        <v>250000</v>
      </c>
      <c r="P50" s="7">
        <v>0</v>
      </c>
      <c r="Q50" s="7">
        <v>250000</v>
      </c>
      <c r="R50" s="7">
        <f t="shared" si="1"/>
        <v>250000</v>
      </c>
      <c r="S50" t="s">
        <v>42</v>
      </c>
      <c r="T50" t="str">
        <f t="shared" si="2"/>
        <v>E-Wallet</v>
      </c>
      <c r="U50" t="s">
        <v>56</v>
      </c>
      <c r="W50" t="str">
        <f t="shared" si="3"/>
        <v/>
      </c>
      <c r="Y50" t="str">
        <f t="shared" si="4"/>
        <v/>
      </c>
      <c r="Z50" t="s">
        <v>27</v>
      </c>
      <c r="AC50" t="str">
        <f>IF(COUNTIF($A:$A,A50)&gt;1,"Duplicate","Unique")</f>
        <v>Unique</v>
      </c>
    </row>
    <row r="51" spans="1:29" x14ac:dyDescent="0.35">
      <c r="A51" t="s">
        <v>144</v>
      </c>
      <c r="B51" s="2">
        <v>45779</v>
      </c>
      <c r="C51" s="9">
        <f t="shared" si="0"/>
        <v>45779</v>
      </c>
      <c r="D51" t="s">
        <v>45</v>
      </c>
      <c r="E51" t="str">
        <v>Malang</v>
      </c>
      <c r="F51" t="s">
        <v>59</v>
      </c>
      <c r="G51" t="s">
        <v>38</v>
      </c>
      <c r="H51" t="str">
        <v>Podcast Recording</v>
      </c>
      <c r="I51" t="s">
        <v>39</v>
      </c>
      <c r="J51" t="str">
        <v>Website</v>
      </c>
      <c r="K51" t="s">
        <v>40</v>
      </c>
      <c r="L51">
        <v>1</v>
      </c>
      <c r="M51">
        <v>1</v>
      </c>
      <c r="N51" t="s">
        <v>24</v>
      </c>
      <c r="O51" s="7">
        <v>140000</v>
      </c>
      <c r="P51" s="7">
        <v>7000</v>
      </c>
      <c r="Q51" s="7">
        <v>133000</v>
      </c>
      <c r="R51" s="7">
        <f t="shared" si="1"/>
        <v>133000</v>
      </c>
      <c r="S51" t="s">
        <v>78</v>
      </c>
      <c r="T51" t="str">
        <f t="shared" si="2"/>
        <v>Cash</v>
      </c>
      <c r="U51" t="s">
        <v>56</v>
      </c>
      <c r="V51">
        <v>4</v>
      </c>
      <c r="W51">
        <f t="shared" si="3"/>
        <v>4</v>
      </c>
      <c r="Y51" t="str">
        <f t="shared" si="4"/>
        <v/>
      </c>
      <c r="Z51" t="s">
        <v>72</v>
      </c>
      <c r="AA51" t="s">
        <v>35</v>
      </c>
      <c r="AC51" t="str">
        <f>IF(COUNTIF($A:$A,A51)&gt;1,"Duplicate","Unique")</f>
        <v>Unique</v>
      </c>
    </row>
    <row r="52" spans="1:29" x14ac:dyDescent="0.35">
      <c r="A52" t="s">
        <v>145</v>
      </c>
      <c r="B52" s="2">
        <v>45689</v>
      </c>
      <c r="C52" s="9">
        <f t="shared" si="0"/>
        <v>45689</v>
      </c>
      <c r="D52" t="s">
        <v>69</v>
      </c>
      <c r="E52" t="str">
        <v>Yogyakarta</v>
      </c>
      <c r="F52" t="s">
        <v>30</v>
      </c>
      <c r="G52" t="s">
        <v>99</v>
      </c>
      <c r="H52" t="str">
        <v>Live Streaming</v>
      </c>
      <c r="I52" t="s">
        <v>84</v>
      </c>
      <c r="J52" t="str">
        <v>Instagram</v>
      </c>
      <c r="K52" t="s">
        <v>66</v>
      </c>
      <c r="L52">
        <v>1</v>
      </c>
      <c r="M52">
        <v>1</v>
      </c>
      <c r="N52" t="s">
        <v>41</v>
      </c>
      <c r="O52" s="7">
        <v>160000</v>
      </c>
      <c r="P52" s="7">
        <v>16000</v>
      </c>
      <c r="Q52" s="7">
        <v>144000</v>
      </c>
      <c r="R52" s="7">
        <f t="shared" si="1"/>
        <v>144000</v>
      </c>
      <c r="S52" t="s">
        <v>78</v>
      </c>
      <c r="T52" t="str">
        <f t="shared" si="2"/>
        <v>Cash</v>
      </c>
      <c r="U52" t="s">
        <v>34</v>
      </c>
      <c r="V52">
        <v>4</v>
      </c>
      <c r="W52">
        <f t="shared" si="3"/>
        <v>4</v>
      </c>
      <c r="Y52" t="str">
        <f t="shared" si="4"/>
        <v/>
      </c>
      <c r="Z52" t="s">
        <v>72</v>
      </c>
      <c r="AC52" t="str">
        <f>IF(COUNTIF($A:$A,A52)&gt;1,"Duplicate","Unique")</f>
        <v>Unique</v>
      </c>
    </row>
    <row r="53" spans="1:29" x14ac:dyDescent="0.35">
      <c r="A53" t="s">
        <v>146</v>
      </c>
      <c r="B53" t="s">
        <v>147</v>
      </c>
      <c r="C53" s="9">
        <f t="shared" si="0"/>
        <v>45993</v>
      </c>
      <c r="D53" t="s">
        <v>45</v>
      </c>
      <c r="E53" t="str">
        <v>Malang</v>
      </c>
      <c r="F53" t="s">
        <v>46</v>
      </c>
      <c r="G53" t="s">
        <v>99</v>
      </c>
      <c r="H53" t="str">
        <v>Live Streaming</v>
      </c>
      <c r="I53" t="s">
        <v>54</v>
      </c>
      <c r="J53" t="str">
        <v>Referral</v>
      </c>
      <c r="K53" t="s">
        <v>23</v>
      </c>
      <c r="L53" t="s">
        <v>104</v>
      </c>
      <c r="M53">
        <v>2</v>
      </c>
      <c r="N53" t="s">
        <v>24</v>
      </c>
      <c r="O53" s="7">
        <v>350000</v>
      </c>
      <c r="P53" s="7">
        <v>0</v>
      </c>
      <c r="Q53" s="7">
        <v>350000</v>
      </c>
      <c r="R53" s="7">
        <f t="shared" si="1"/>
        <v>350000</v>
      </c>
      <c r="S53" t="s">
        <v>78</v>
      </c>
      <c r="T53" t="str">
        <f t="shared" si="2"/>
        <v>Cash</v>
      </c>
      <c r="U53" t="s">
        <v>34</v>
      </c>
      <c r="V53">
        <v>4</v>
      </c>
      <c r="W53">
        <f t="shared" si="3"/>
        <v>4</v>
      </c>
      <c r="Y53" t="str">
        <f t="shared" si="4"/>
        <v/>
      </c>
      <c r="Z53" t="s">
        <v>60</v>
      </c>
      <c r="AC53" t="str">
        <f>IF(COUNTIF($A:$A,A53)&gt;1,"Duplicate","Unique")</f>
        <v>Unique</v>
      </c>
    </row>
    <row r="54" spans="1:29" x14ac:dyDescent="0.35">
      <c r="A54" t="s">
        <v>148</v>
      </c>
      <c r="B54" t="s">
        <v>149</v>
      </c>
      <c r="C54" s="9">
        <f t="shared" si="0"/>
        <v>45942</v>
      </c>
      <c r="D54" t="s">
        <v>58</v>
      </c>
      <c r="E54" t="str">
        <v>Jakarta</v>
      </c>
      <c r="F54" t="s">
        <v>80</v>
      </c>
      <c r="G54" t="s">
        <v>90</v>
      </c>
      <c r="H54" t="str">
        <v>Voice Over</v>
      </c>
      <c r="I54" t="s">
        <v>112</v>
      </c>
      <c r="J54" t="str">
        <v>Marketplace</v>
      </c>
      <c r="K54" t="s">
        <v>40</v>
      </c>
      <c r="L54">
        <v>4</v>
      </c>
      <c r="M54">
        <v>4</v>
      </c>
      <c r="N54" t="s">
        <v>32</v>
      </c>
      <c r="O54" s="7">
        <v>960000</v>
      </c>
      <c r="P54" s="7">
        <v>144000</v>
      </c>
      <c r="Q54" s="7">
        <v>816000</v>
      </c>
      <c r="R54" s="7">
        <f t="shared" si="1"/>
        <v>816000</v>
      </c>
      <c r="S54" t="s">
        <v>78</v>
      </c>
      <c r="T54" t="str">
        <f t="shared" si="2"/>
        <v>Cash</v>
      </c>
      <c r="U54" t="s">
        <v>34</v>
      </c>
      <c r="V54">
        <v>3</v>
      </c>
      <c r="W54">
        <f t="shared" si="3"/>
        <v>3</v>
      </c>
      <c r="Y54" t="str">
        <f t="shared" si="4"/>
        <v/>
      </c>
      <c r="Z54" t="s">
        <v>27</v>
      </c>
      <c r="AC54" t="str">
        <f>IF(COUNTIF($A:$A,A54)&gt;1,"Duplicate","Unique")</f>
        <v>Unique</v>
      </c>
    </row>
    <row r="55" spans="1:29" x14ac:dyDescent="0.35">
      <c r="A55" t="s">
        <v>150</v>
      </c>
      <c r="B55" s="2">
        <v>45951</v>
      </c>
      <c r="C55" s="9">
        <f t="shared" si="0"/>
        <v>45951</v>
      </c>
      <c r="D55" t="s">
        <v>37</v>
      </c>
      <c r="E55" t="str">
        <v>Bandung</v>
      </c>
      <c r="F55" t="s">
        <v>30</v>
      </c>
      <c r="G55" t="s">
        <v>151</v>
      </c>
      <c r="H55" t="str">
        <v>Voice Over</v>
      </c>
      <c r="I55" t="s">
        <v>112</v>
      </c>
      <c r="J55" t="str">
        <v>Marketplace</v>
      </c>
      <c r="K55" t="s">
        <v>71</v>
      </c>
      <c r="L55" t="s">
        <v>124</v>
      </c>
      <c r="M55">
        <v>3</v>
      </c>
      <c r="N55" t="s">
        <v>41</v>
      </c>
      <c r="O55" s="7">
        <v>480000</v>
      </c>
      <c r="P55" s="7">
        <v>0</v>
      </c>
      <c r="Q55" s="7">
        <v>480000</v>
      </c>
      <c r="R55" s="7">
        <f t="shared" si="1"/>
        <v>480000</v>
      </c>
      <c r="S55" t="s">
        <v>25</v>
      </c>
      <c r="T55" t="str">
        <f t="shared" si="2"/>
        <v>Transfer</v>
      </c>
      <c r="U55" t="s">
        <v>56</v>
      </c>
      <c r="V55">
        <v>4</v>
      </c>
      <c r="W55">
        <f t="shared" si="3"/>
        <v>4</v>
      </c>
      <c r="Y55" t="str">
        <f t="shared" si="4"/>
        <v/>
      </c>
      <c r="Z55" t="s">
        <v>72</v>
      </c>
      <c r="AC55" t="str">
        <f>IF(COUNTIF($A:$A,A55)&gt;1,"Duplicate","Unique")</f>
        <v>Unique</v>
      </c>
    </row>
    <row r="56" spans="1:29" x14ac:dyDescent="0.35">
      <c r="A56" t="s">
        <v>152</v>
      </c>
      <c r="B56" s="2">
        <v>45704</v>
      </c>
      <c r="C56" s="9">
        <f t="shared" si="0"/>
        <v>45704</v>
      </c>
      <c r="D56" t="s">
        <v>45</v>
      </c>
      <c r="E56" t="str">
        <v>Malang</v>
      </c>
      <c r="F56" t="s">
        <v>46</v>
      </c>
      <c r="G56" t="s">
        <v>153</v>
      </c>
      <c r="H56" t="str">
        <v>Live Streaming</v>
      </c>
      <c r="I56" t="s">
        <v>74</v>
      </c>
      <c r="J56" t="str">
        <v>Referral</v>
      </c>
      <c r="K56" t="s">
        <v>66</v>
      </c>
      <c r="L56">
        <v>3</v>
      </c>
      <c r="M56">
        <v>3</v>
      </c>
      <c r="N56" t="s">
        <v>41</v>
      </c>
      <c r="O56" s="7">
        <v>630000</v>
      </c>
      <c r="P56" s="7">
        <v>63000</v>
      </c>
      <c r="Q56" s="7">
        <v>567000</v>
      </c>
      <c r="R56" s="7">
        <f t="shared" si="1"/>
        <v>567000</v>
      </c>
      <c r="S56" t="s">
        <v>33</v>
      </c>
      <c r="T56" t="str">
        <f t="shared" si="2"/>
        <v>Virtual Account</v>
      </c>
      <c r="U56" t="s">
        <v>34</v>
      </c>
      <c r="V56">
        <v>5</v>
      </c>
      <c r="W56">
        <f t="shared" si="3"/>
        <v>5</v>
      </c>
      <c r="Y56" t="str">
        <f t="shared" si="4"/>
        <v/>
      </c>
      <c r="Z56" t="s">
        <v>60</v>
      </c>
      <c r="AC56" t="str">
        <f>IF(COUNTIF($A:$A,A56)&gt;1,"Duplicate","Unique")</f>
        <v>Unique</v>
      </c>
    </row>
    <row r="57" spans="1:29" x14ac:dyDescent="0.35">
      <c r="A57" t="s">
        <v>154</v>
      </c>
      <c r="B57" s="2">
        <v>45920</v>
      </c>
      <c r="C57" s="9">
        <f t="shared" si="0"/>
        <v>45920</v>
      </c>
      <c r="D57" t="s">
        <v>155</v>
      </c>
      <c r="E57" t="str">
        <v>Jakarta</v>
      </c>
      <c r="F57" t="s">
        <v>59</v>
      </c>
      <c r="G57" t="s">
        <v>99</v>
      </c>
      <c r="H57" t="str">
        <v>Live Streaming</v>
      </c>
      <c r="I57" t="s">
        <v>84</v>
      </c>
      <c r="J57" t="str">
        <v>Instagram</v>
      </c>
      <c r="K57" t="s">
        <v>40</v>
      </c>
      <c r="L57" t="s">
        <v>124</v>
      </c>
      <c r="M57">
        <v>3</v>
      </c>
      <c r="N57" t="s">
        <v>41</v>
      </c>
      <c r="O57" s="7">
        <v>525000</v>
      </c>
      <c r="P57" s="7">
        <v>0</v>
      </c>
      <c r="Q57" s="7">
        <v>525000</v>
      </c>
      <c r="R57" s="7">
        <f t="shared" si="1"/>
        <v>525000</v>
      </c>
      <c r="S57" t="s">
        <v>78</v>
      </c>
      <c r="T57" t="str">
        <f t="shared" si="2"/>
        <v>Cash</v>
      </c>
      <c r="U57" t="s">
        <v>56</v>
      </c>
      <c r="V57">
        <v>4</v>
      </c>
      <c r="W57">
        <f t="shared" si="3"/>
        <v>4</v>
      </c>
      <c r="Y57" t="str">
        <f t="shared" si="4"/>
        <v/>
      </c>
      <c r="Z57" t="s">
        <v>43</v>
      </c>
      <c r="AA57" t="s">
        <v>96</v>
      </c>
      <c r="AC57" t="str">
        <f>IF(COUNTIF($A:$A,A57)&gt;1,"Duplicate","Unique")</f>
        <v>Unique</v>
      </c>
    </row>
    <row r="58" spans="1:29" x14ac:dyDescent="0.35">
      <c r="A58" t="s">
        <v>156</v>
      </c>
      <c r="B58" t="s">
        <v>157</v>
      </c>
      <c r="C58" s="9">
        <f t="shared" si="0"/>
        <v>45747</v>
      </c>
      <c r="D58" t="s">
        <v>37</v>
      </c>
      <c r="E58" t="str">
        <v>Bandung</v>
      </c>
      <c r="F58" t="s">
        <v>30</v>
      </c>
      <c r="G58" t="s">
        <v>90</v>
      </c>
      <c r="H58" t="str">
        <v>Voice Over</v>
      </c>
      <c r="I58" t="s">
        <v>39</v>
      </c>
      <c r="J58" t="str">
        <v>Website</v>
      </c>
      <c r="K58" t="s">
        <v>71</v>
      </c>
      <c r="L58" t="s">
        <v>104</v>
      </c>
      <c r="M58">
        <v>2</v>
      </c>
      <c r="N58" t="s">
        <v>24</v>
      </c>
      <c r="O58" s="7">
        <v>250000</v>
      </c>
      <c r="P58" s="7">
        <v>12500</v>
      </c>
      <c r="Q58" s="7">
        <v>237500</v>
      </c>
      <c r="R58" s="7">
        <f t="shared" si="1"/>
        <v>237500</v>
      </c>
      <c r="S58" t="s">
        <v>33</v>
      </c>
      <c r="T58" t="str">
        <f t="shared" si="2"/>
        <v>Virtual Account</v>
      </c>
      <c r="U58" t="s">
        <v>34</v>
      </c>
      <c r="V58">
        <v>3</v>
      </c>
      <c r="W58">
        <f t="shared" si="3"/>
        <v>3</v>
      </c>
      <c r="Y58" t="str">
        <f t="shared" si="4"/>
        <v/>
      </c>
      <c r="Z58" t="s">
        <v>48</v>
      </c>
      <c r="AA58" t="s">
        <v>96</v>
      </c>
      <c r="AC58" t="str">
        <f>IF(COUNTIF($A:$A,A58)&gt;1,"Duplicate","Unique")</f>
        <v>Unique</v>
      </c>
    </row>
    <row r="59" spans="1:29" x14ac:dyDescent="0.35">
      <c r="A59" t="s">
        <v>158</v>
      </c>
      <c r="B59" s="2">
        <v>45893</v>
      </c>
      <c r="C59" s="9">
        <f t="shared" si="0"/>
        <v>45893</v>
      </c>
      <c r="D59" t="s">
        <v>53</v>
      </c>
      <c r="E59" t="str">
        <v>Surabaya</v>
      </c>
      <c r="F59" t="s">
        <v>20</v>
      </c>
      <c r="G59" t="s">
        <v>99</v>
      </c>
      <c r="H59" t="str">
        <v>Live Streaming</v>
      </c>
      <c r="I59" t="s">
        <v>84</v>
      </c>
      <c r="J59" t="str">
        <v>Instagram</v>
      </c>
      <c r="K59" t="s">
        <v>23</v>
      </c>
      <c r="L59">
        <v>1</v>
      </c>
      <c r="M59">
        <v>1</v>
      </c>
      <c r="N59" t="s">
        <v>32</v>
      </c>
      <c r="O59" s="7">
        <v>135000</v>
      </c>
      <c r="P59" s="7">
        <v>0</v>
      </c>
      <c r="Q59" s="7">
        <v>135000</v>
      </c>
      <c r="R59" s="7">
        <f t="shared" si="1"/>
        <v>135000</v>
      </c>
      <c r="S59" t="s">
        <v>78</v>
      </c>
      <c r="T59" t="str">
        <f t="shared" si="2"/>
        <v>Cash</v>
      </c>
      <c r="U59" t="s">
        <v>56</v>
      </c>
      <c r="V59">
        <v>5</v>
      </c>
      <c r="W59">
        <f t="shared" si="3"/>
        <v>5</v>
      </c>
      <c r="Y59" t="str">
        <f t="shared" si="4"/>
        <v/>
      </c>
      <c r="Z59" t="s">
        <v>60</v>
      </c>
      <c r="AC59" t="str">
        <f>IF(COUNTIF($A:$A,A59)&gt;1,"Duplicate","Unique")</f>
        <v>Unique</v>
      </c>
    </row>
    <row r="60" spans="1:29" x14ac:dyDescent="0.35">
      <c r="A60" t="s">
        <v>159</v>
      </c>
      <c r="B60" s="2">
        <v>45778</v>
      </c>
      <c r="C60" s="9">
        <f t="shared" si="0"/>
        <v>45778</v>
      </c>
      <c r="D60" t="s">
        <v>58</v>
      </c>
      <c r="E60" t="str">
        <v>Jakarta</v>
      </c>
      <c r="F60" t="s">
        <v>46</v>
      </c>
      <c r="G60" t="s">
        <v>31</v>
      </c>
      <c r="H60" t="str">
        <v>Product Photoshoot</v>
      </c>
      <c r="I60" t="s">
        <v>39</v>
      </c>
      <c r="J60" t="str">
        <v>Website</v>
      </c>
      <c r="K60" t="s">
        <v>23</v>
      </c>
      <c r="L60">
        <v>4</v>
      </c>
      <c r="M60">
        <v>4</v>
      </c>
      <c r="N60" t="s">
        <v>32</v>
      </c>
      <c r="O60" s="7">
        <v>900000</v>
      </c>
      <c r="P60" s="7">
        <v>45000</v>
      </c>
      <c r="Q60" s="7">
        <v>855000</v>
      </c>
      <c r="R60" s="7">
        <f t="shared" si="1"/>
        <v>855000</v>
      </c>
      <c r="S60" t="s">
        <v>25</v>
      </c>
      <c r="T60" t="str">
        <f t="shared" si="2"/>
        <v>Transfer</v>
      </c>
      <c r="U60" t="s">
        <v>34</v>
      </c>
      <c r="W60" t="str">
        <f t="shared" si="3"/>
        <v/>
      </c>
      <c r="Y60" t="str">
        <f t="shared" si="4"/>
        <v/>
      </c>
      <c r="Z60" t="s">
        <v>43</v>
      </c>
      <c r="AA60" t="s">
        <v>49</v>
      </c>
      <c r="AC60" t="str">
        <f>IF(COUNTIF($A:$A,A60)&gt;1,"Duplicate","Unique")</f>
        <v>Unique</v>
      </c>
    </row>
    <row r="61" spans="1:29" x14ac:dyDescent="0.35">
      <c r="A61" t="s">
        <v>160</v>
      </c>
      <c r="B61" s="2">
        <v>45981</v>
      </c>
      <c r="C61" s="9">
        <f t="shared" si="0"/>
        <v>45981</v>
      </c>
      <c r="D61" t="s">
        <v>53</v>
      </c>
      <c r="E61" t="str">
        <v>Surabaya</v>
      </c>
      <c r="F61" t="s">
        <v>59</v>
      </c>
      <c r="G61" t="s">
        <v>151</v>
      </c>
      <c r="H61" t="str">
        <v>Voice Over</v>
      </c>
      <c r="I61" t="s">
        <v>84</v>
      </c>
      <c r="J61" t="str">
        <v>Instagram</v>
      </c>
      <c r="K61" t="s">
        <v>40</v>
      </c>
      <c r="L61">
        <v>2</v>
      </c>
      <c r="M61">
        <v>2</v>
      </c>
      <c r="N61" t="s">
        <v>24</v>
      </c>
      <c r="O61" s="7">
        <v>280000</v>
      </c>
      <c r="P61" s="7">
        <v>0</v>
      </c>
      <c r="Q61" s="7">
        <v>280000</v>
      </c>
      <c r="R61" s="7">
        <f t="shared" si="1"/>
        <v>280000</v>
      </c>
      <c r="S61" t="s">
        <v>33</v>
      </c>
      <c r="T61" t="str">
        <f t="shared" si="2"/>
        <v>Virtual Account</v>
      </c>
      <c r="U61" t="s">
        <v>34</v>
      </c>
      <c r="V61">
        <v>4</v>
      </c>
      <c r="W61">
        <f t="shared" si="3"/>
        <v>4</v>
      </c>
      <c r="Y61" t="str">
        <f t="shared" si="4"/>
        <v/>
      </c>
      <c r="Z61" t="s">
        <v>72</v>
      </c>
      <c r="AA61" t="s">
        <v>35</v>
      </c>
      <c r="AC61" t="str">
        <f>IF(COUNTIF($A:$A,A61)&gt;1,"Duplicate","Unique")</f>
        <v>Unique</v>
      </c>
    </row>
    <row r="62" spans="1:29" x14ac:dyDescent="0.35">
      <c r="A62" t="s">
        <v>161</v>
      </c>
      <c r="B62" s="2">
        <v>45888</v>
      </c>
      <c r="C62" s="9">
        <f t="shared" si="0"/>
        <v>45888</v>
      </c>
      <c r="D62" t="s">
        <v>162</v>
      </c>
      <c r="E62" t="str">
        <v>Malang</v>
      </c>
      <c r="F62" t="s">
        <v>46</v>
      </c>
      <c r="G62" t="s">
        <v>31</v>
      </c>
      <c r="H62" t="str">
        <v>Product Photoshoot</v>
      </c>
      <c r="I62" t="s">
        <v>112</v>
      </c>
      <c r="J62" t="str">
        <v>Marketplace</v>
      </c>
      <c r="K62" t="s">
        <v>66</v>
      </c>
      <c r="L62">
        <v>1</v>
      </c>
      <c r="M62">
        <v>1</v>
      </c>
      <c r="N62" t="s">
        <v>41</v>
      </c>
      <c r="O62" s="7">
        <v>210000</v>
      </c>
      <c r="P62" s="7">
        <v>31500</v>
      </c>
      <c r="Q62" s="7">
        <v>178500</v>
      </c>
      <c r="R62" s="7">
        <f t="shared" si="1"/>
        <v>178500</v>
      </c>
      <c r="S62" t="s">
        <v>25</v>
      </c>
      <c r="T62" t="str">
        <f t="shared" si="2"/>
        <v>Transfer</v>
      </c>
      <c r="U62" t="s">
        <v>34</v>
      </c>
      <c r="V62">
        <v>3</v>
      </c>
      <c r="W62">
        <f t="shared" si="3"/>
        <v>3</v>
      </c>
      <c r="Y62" t="str">
        <f t="shared" si="4"/>
        <v/>
      </c>
      <c r="Z62" t="s">
        <v>27</v>
      </c>
      <c r="AA62" t="s">
        <v>49</v>
      </c>
      <c r="AC62" t="str">
        <f>IF(COUNTIF($A:$A,A62)&gt;1,"Duplicate","Unique")</f>
        <v>Unique</v>
      </c>
    </row>
    <row r="63" spans="1:29" x14ac:dyDescent="0.35">
      <c r="A63" t="s">
        <v>163</v>
      </c>
      <c r="B63" t="s">
        <v>164</v>
      </c>
      <c r="C63" s="9">
        <f t="shared" si="0"/>
        <v>46005</v>
      </c>
      <c r="D63" t="s">
        <v>45</v>
      </c>
      <c r="E63" t="str">
        <v>Malang</v>
      </c>
      <c r="F63" t="s">
        <v>20</v>
      </c>
      <c r="G63" t="s">
        <v>21</v>
      </c>
      <c r="H63" t="str">
        <v>Content Batch</v>
      </c>
      <c r="I63" t="s">
        <v>22</v>
      </c>
      <c r="J63" t="str">
        <v>Whatsapp</v>
      </c>
      <c r="K63" t="s">
        <v>47</v>
      </c>
      <c r="L63">
        <v>1</v>
      </c>
      <c r="M63">
        <v>1</v>
      </c>
      <c r="N63" t="s">
        <v>55</v>
      </c>
      <c r="O63" s="7">
        <v>160000</v>
      </c>
      <c r="P63" s="7">
        <v>0</v>
      </c>
      <c r="Q63" s="7">
        <v>160000</v>
      </c>
      <c r="R63" s="7">
        <f t="shared" si="1"/>
        <v>160000</v>
      </c>
      <c r="S63" t="s">
        <v>78</v>
      </c>
      <c r="T63" t="str">
        <f t="shared" si="2"/>
        <v>Cash</v>
      </c>
      <c r="U63" t="s">
        <v>34</v>
      </c>
      <c r="V63">
        <v>3</v>
      </c>
      <c r="W63">
        <f t="shared" si="3"/>
        <v>3</v>
      </c>
      <c r="Y63" t="str">
        <f t="shared" si="4"/>
        <v/>
      </c>
      <c r="Z63" t="s">
        <v>27</v>
      </c>
      <c r="AA63" t="s">
        <v>49</v>
      </c>
      <c r="AC63" t="str">
        <f>IF(COUNTIF($A:$A,A63)&gt;1,"Duplicate","Unique")</f>
        <v>Unique</v>
      </c>
    </row>
    <row r="64" spans="1:29" x14ac:dyDescent="0.35">
      <c r="A64" t="s">
        <v>165</v>
      </c>
      <c r="B64" s="2">
        <v>45723</v>
      </c>
      <c r="C64" s="9">
        <f t="shared" si="0"/>
        <v>45723</v>
      </c>
      <c r="D64" t="s">
        <v>45</v>
      </c>
      <c r="E64" t="str">
        <v>Malang</v>
      </c>
      <c r="F64" t="s">
        <v>20</v>
      </c>
      <c r="G64" t="s">
        <v>21</v>
      </c>
      <c r="H64" t="str">
        <v>Content Batch</v>
      </c>
      <c r="I64" t="s">
        <v>54</v>
      </c>
      <c r="J64" t="str">
        <v>Referral</v>
      </c>
      <c r="K64" t="s">
        <v>71</v>
      </c>
      <c r="L64">
        <v>1</v>
      </c>
      <c r="M64">
        <v>1</v>
      </c>
      <c r="N64" t="s">
        <v>55</v>
      </c>
      <c r="O64" s="7">
        <v>160000</v>
      </c>
      <c r="P64" s="7">
        <v>0</v>
      </c>
      <c r="Q64" s="7">
        <v>160000</v>
      </c>
      <c r="R64" s="7">
        <f t="shared" si="1"/>
        <v>160000</v>
      </c>
      <c r="S64" t="s">
        <v>33</v>
      </c>
      <c r="T64" t="str">
        <f t="shared" si="2"/>
        <v>Virtual Account</v>
      </c>
      <c r="U64" t="s">
        <v>34</v>
      </c>
      <c r="W64" t="str">
        <f t="shared" si="3"/>
        <v/>
      </c>
      <c r="Y64" t="str">
        <f t="shared" si="4"/>
        <v/>
      </c>
      <c r="Z64" t="s">
        <v>48</v>
      </c>
      <c r="AA64" t="s">
        <v>96</v>
      </c>
      <c r="AC64" t="str">
        <f>IF(COUNTIF($A:$A,A64)&gt;1,"Duplicate","Unique")</f>
        <v>Unique</v>
      </c>
    </row>
    <row r="65" spans="1:29" x14ac:dyDescent="0.35">
      <c r="A65" t="s">
        <v>166</v>
      </c>
      <c r="B65" s="2">
        <v>45725</v>
      </c>
      <c r="C65" s="9">
        <f t="shared" si="0"/>
        <v>45725</v>
      </c>
      <c r="D65" t="s">
        <v>45</v>
      </c>
      <c r="E65" t="str">
        <v>Malang</v>
      </c>
      <c r="F65" t="s">
        <v>30</v>
      </c>
      <c r="G65" t="s">
        <v>103</v>
      </c>
      <c r="H65" t="str">
        <v>Video Podcast</v>
      </c>
      <c r="I65" t="s">
        <v>39</v>
      </c>
      <c r="J65" t="str">
        <v>Website</v>
      </c>
      <c r="K65" t="s">
        <v>23</v>
      </c>
      <c r="L65">
        <v>2</v>
      </c>
      <c r="M65">
        <v>2</v>
      </c>
      <c r="N65" t="s">
        <v>24</v>
      </c>
      <c r="O65" s="7">
        <v>250000</v>
      </c>
      <c r="P65" s="7">
        <v>12500</v>
      </c>
      <c r="Q65" s="7">
        <v>237500</v>
      </c>
      <c r="R65" s="7">
        <f t="shared" si="1"/>
        <v>237500</v>
      </c>
      <c r="S65" t="s">
        <v>42</v>
      </c>
      <c r="T65" t="str">
        <f t="shared" si="2"/>
        <v>E-Wallet</v>
      </c>
      <c r="U65" t="s">
        <v>26</v>
      </c>
      <c r="V65">
        <v>4</v>
      </c>
      <c r="W65">
        <f t="shared" si="3"/>
        <v>4</v>
      </c>
      <c r="X65" t="s">
        <v>167</v>
      </c>
      <c r="Y65" t="str">
        <f t="shared" si="4"/>
        <v>No response</v>
      </c>
      <c r="Z65" t="s">
        <v>27</v>
      </c>
      <c r="AA65" t="s">
        <v>94</v>
      </c>
      <c r="AC65" t="str">
        <f>IF(COUNTIF($A:$A,A65)&gt;1,"Duplicate","Unique")</f>
        <v>Unique</v>
      </c>
    </row>
    <row r="66" spans="1:29" x14ac:dyDescent="0.35">
      <c r="A66" t="s">
        <v>168</v>
      </c>
      <c r="B66" s="2">
        <v>46005</v>
      </c>
      <c r="C66" s="9">
        <f t="shared" si="0"/>
        <v>46005</v>
      </c>
      <c r="D66" t="s">
        <v>45</v>
      </c>
      <c r="E66" t="str">
        <v>Malang</v>
      </c>
      <c r="F66" t="s">
        <v>30</v>
      </c>
      <c r="G66" t="s">
        <v>99</v>
      </c>
      <c r="H66" t="str">
        <v>Live Streaming</v>
      </c>
      <c r="I66" t="s">
        <v>22</v>
      </c>
      <c r="J66" t="str">
        <v>Whatsapp</v>
      </c>
      <c r="K66" t="s">
        <v>66</v>
      </c>
      <c r="L66">
        <v>4</v>
      </c>
      <c r="M66">
        <v>4</v>
      </c>
      <c r="N66" t="s">
        <v>55</v>
      </c>
      <c r="O66" s="7">
        <v>800000</v>
      </c>
      <c r="P66" s="7">
        <v>80000</v>
      </c>
      <c r="Q66" s="7">
        <v>720000</v>
      </c>
      <c r="R66" s="7">
        <f t="shared" si="1"/>
        <v>720000</v>
      </c>
      <c r="S66" t="s">
        <v>78</v>
      </c>
      <c r="T66" t="str">
        <f t="shared" si="2"/>
        <v>Cash</v>
      </c>
      <c r="U66" t="s">
        <v>34</v>
      </c>
      <c r="V66">
        <v>4</v>
      </c>
      <c r="W66">
        <f t="shared" si="3"/>
        <v>4</v>
      </c>
      <c r="Y66" t="str">
        <f t="shared" si="4"/>
        <v/>
      </c>
      <c r="Z66" t="s">
        <v>48</v>
      </c>
      <c r="AA66" t="s">
        <v>35</v>
      </c>
      <c r="AC66" t="str">
        <f>IF(COUNTIF($A:$A,A66)&gt;1,"Duplicate","Unique")</f>
        <v>Unique</v>
      </c>
    </row>
    <row r="67" spans="1:29" x14ac:dyDescent="0.35">
      <c r="A67" t="s">
        <v>169</v>
      </c>
      <c r="B67" s="2">
        <v>45733</v>
      </c>
      <c r="C67" s="9">
        <f t="shared" ref="C67:C130" si="5">IF(B67="","",IF(ISNUMBER(B67),INT(B67),IF(ISNUMBER(DATEVALUE(B67)),DATEVALUE(B67),"")))</f>
        <v>45733</v>
      </c>
      <c r="D67" t="s">
        <v>63</v>
      </c>
      <c r="E67" t="str">
        <v>Yogyakarta</v>
      </c>
      <c r="F67" t="s">
        <v>20</v>
      </c>
      <c r="G67" t="s">
        <v>103</v>
      </c>
      <c r="H67" t="str">
        <v>Video Podcast</v>
      </c>
      <c r="I67" t="s">
        <v>54</v>
      </c>
      <c r="J67" t="str">
        <v>Referral</v>
      </c>
      <c r="K67" t="s">
        <v>40</v>
      </c>
      <c r="L67">
        <v>2</v>
      </c>
      <c r="M67">
        <v>2</v>
      </c>
      <c r="N67" t="s">
        <v>41</v>
      </c>
      <c r="O67" s="7">
        <v>240000</v>
      </c>
      <c r="P67" s="7">
        <v>0</v>
      </c>
      <c r="Q67" s="7">
        <v>240000</v>
      </c>
      <c r="R67" s="7">
        <f t="shared" ref="R67:R130" si="6">IF(Q67="","",IF(ISNUMBER(Q67),Q67,VALUE(SUBSTITUTE(SUBSTITUTE(Q67,"RP ",""),",",""))))</f>
        <v>240000</v>
      </c>
      <c r="S67" t="s">
        <v>78</v>
      </c>
      <c r="T67" t="str">
        <f t="shared" ref="T67:T130" si="7">IF(S67="","",PROPER(TRIM(S67)))</f>
        <v>Cash</v>
      </c>
      <c r="U67" t="s">
        <v>34</v>
      </c>
      <c r="V67">
        <v>4</v>
      </c>
      <c r="W67">
        <f t="shared" ref="W67:W130" si="8">IF(V67="","",VALUE(V67))</f>
        <v>4</v>
      </c>
      <c r="Y67" t="str">
        <f t="shared" ref="Y67:Y130" si="9">IF(U67="Cancelled",IF(X67="","Not Provided",X67), "")</f>
        <v/>
      </c>
      <c r="Z67" t="s">
        <v>60</v>
      </c>
      <c r="AC67" t="str">
        <f>IF(COUNTIF($A:$A,A67)&gt;1,"Duplicate","Unique")</f>
        <v>Unique</v>
      </c>
    </row>
    <row r="68" spans="1:29" x14ac:dyDescent="0.35">
      <c r="A68" t="s">
        <v>170</v>
      </c>
      <c r="B68" s="2">
        <v>46019</v>
      </c>
      <c r="C68" s="9">
        <f t="shared" si="5"/>
        <v>46019</v>
      </c>
      <c r="D68" t="s">
        <v>69</v>
      </c>
      <c r="E68" t="str">
        <v>Yogyakarta</v>
      </c>
      <c r="F68" t="s">
        <v>30</v>
      </c>
      <c r="G68" t="s">
        <v>70</v>
      </c>
      <c r="H68" t="str">
        <v>Voice Over</v>
      </c>
      <c r="I68" t="s">
        <v>84</v>
      </c>
      <c r="J68" t="str">
        <v>Instagram</v>
      </c>
      <c r="K68" t="s">
        <v>47</v>
      </c>
      <c r="L68" t="s">
        <v>51</v>
      </c>
      <c r="M68">
        <v>4</v>
      </c>
      <c r="N68" t="s">
        <v>55</v>
      </c>
      <c r="O68" s="7">
        <v>800000</v>
      </c>
      <c r="P68" s="7">
        <v>80000</v>
      </c>
      <c r="Q68" s="7">
        <v>720000</v>
      </c>
      <c r="R68" s="7">
        <f t="shared" si="6"/>
        <v>720000</v>
      </c>
      <c r="T68" t="str">
        <f t="shared" si="7"/>
        <v/>
      </c>
      <c r="U68" t="s">
        <v>34</v>
      </c>
      <c r="V68">
        <v>5</v>
      </c>
      <c r="W68">
        <f t="shared" si="8"/>
        <v>5</v>
      </c>
      <c r="Y68" t="str">
        <f t="shared" si="9"/>
        <v/>
      </c>
      <c r="Z68" t="s">
        <v>48</v>
      </c>
      <c r="AA68" t="s">
        <v>49</v>
      </c>
      <c r="AC68" t="str">
        <f>IF(COUNTIF($A:$A,A68)&gt;1,"Duplicate","Unique")</f>
        <v>Unique</v>
      </c>
    </row>
    <row r="69" spans="1:29" x14ac:dyDescent="0.35">
      <c r="A69" t="s">
        <v>171</v>
      </c>
      <c r="B69" s="2">
        <v>45932</v>
      </c>
      <c r="C69" s="9">
        <f t="shared" si="5"/>
        <v>45932</v>
      </c>
      <c r="D69" t="s">
        <v>58</v>
      </c>
      <c r="E69" t="str">
        <v>Jakarta</v>
      </c>
      <c r="F69" t="s">
        <v>80</v>
      </c>
      <c r="G69" t="s">
        <v>151</v>
      </c>
      <c r="H69" t="str">
        <v>Voice Over</v>
      </c>
      <c r="I69" t="s">
        <v>39</v>
      </c>
      <c r="J69" t="str">
        <v>Website</v>
      </c>
      <c r="K69" t="s">
        <v>23</v>
      </c>
      <c r="L69">
        <v>1</v>
      </c>
      <c r="M69">
        <v>1</v>
      </c>
      <c r="N69" t="s">
        <v>55</v>
      </c>
      <c r="O69" s="7">
        <v>265000</v>
      </c>
      <c r="P69" s="7">
        <v>26500</v>
      </c>
      <c r="Q69" s="7">
        <v>238500</v>
      </c>
      <c r="R69" s="7">
        <f t="shared" si="6"/>
        <v>238500</v>
      </c>
      <c r="S69" t="s">
        <v>25</v>
      </c>
      <c r="T69" t="str">
        <f t="shared" si="7"/>
        <v>Transfer</v>
      </c>
      <c r="U69" t="s">
        <v>56</v>
      </c>
      <c r="V69">
        <v>4</v>
      </c>
      <c r="W69">
        <f t="shared" si="8"/>
        <v>4</v>
      </c>
      <c r="Y69" t="str">
        <f t="shared" si="9"/>
        <v/>
      </c>
      <c r="Z69" t="s">
        <v>43</v>
      </c>
      <c r="AC69" t="str">
        <f>IF(COUNTIF($A:$A,A69)&gt;1,"Duplicate","Unique")</f>
        <v>Unique</v>
      </c>
    </row>
    <row r="70" spans="1:29" x14ac:dyDescent="0.35">
      <c r="A70" t="s">
        <v>172</v>
      </c>
      <c r="B70" s="2">
        <v>45680</v>
      </c>
      <c r="C70" s="9">
        <f t="shared" si="5"/>
        <v>45680</v>
      </c>
      <c r="D70" t="s">
        <v>63</v>
      </c>
      <c r="E70" t="str">
        <v>Yogyakarta</v>
      </c>
      <c r="F70" t="s">
        <v>59</v>
      </c>
      <c r="G70" t="s">
        <v>31</v>
      </c>
      <c r="H70" t="str">
        <v>Product Photoshoot</v>
      </c>
      <c r="I70" t="s">
        <v>84</v>
      </c>
      <c r="J70" t="str">
        <v>Instagram</v>
      </c>
      <c r="K70" t="s">
        <v>40</v>
      </c>
      <c r="L70">
        <v>3</v>
      </c>
      <c r="M70">
        <v>3</v>
      </c>
      <c r="N70" t="s">
        <v>24</v>
      </c>
      <c r="O70" s="7">
        <v>420000</v>
      </c>
      <c r="P70" s="7">
        <v>42000</v>
      </c>
      <c r="Q70" s="7">
        <v>378000</v>
      </c>
      <c r="R70" s="7">
        <f t="shared" si="6"/>
        <v>378000</v>
      </c>
      <c r="S70" t="s">
        <v>33</v>
      </c>
      <c r="T70" t="str">
        <f t="shared" si="7"/>
        <v>Virtual Account</v>
      </c>
      <c r="U70" t="s">
        <v>34</v>
      </c>
      <c r="V70">
        <v>5</v>
      </c>
      <c r="W70">
        <f t="shared" si="8"/>
        <v>5</v>
      </c>
      <c r="Y70" t="str">
        <f t="shared" si="9"/>
        <v/>
      </c>
      <c r="Z70" t="s">
        <v>60</v>
      </c>
      <c r="AA70" t="s">
        <v>35</v>
      </c>
      <c r="AC70" t="str">
        <f>IF(COUNTIF($A:$A,A70)&gt;1,"Duplicate","Unique")</f>
        <v>Unique</v>
      </c>
    </row>
    <row r="71" spans="1:29" x14ac:dyDescent="0.35">
      <c r="A71" t="s">
        <v>173</v>
      </c>
      <c r="B71" t="s">
        <v>174</v>
      </c>
      <c r="C71" s="9">
        <f t="shared" si="5"/>
        <v>45690</v>
      </c>
      <c r="D71" t="s">
        <v>123</v>
      </c>
      <c r="E71" t="str">
        <v>Yogyakarta</v>
      </c>
      <c r="F71" t="s">
        <v>20</v>
      </c>
      <c r="G71" t="s">
        <v>31</v>
      </c>
      <c r="H71" t="str">
        <v>Product Photoshoot</v>
      </c>
      <c r="I71" t="s">
        <v>39</v>
      </c>
      <c r="J71" t="str">
        <v>Website</v>
      </c>
      <c r="K71" t="s">
        <v>47</v>
      </c>
      <c r="L71">
        <v>1</v>
      </c>
      <c r="M71">
        <v>1</v>
      </c>
      <c r="N71" t="s">
        <v>32</v>
      </c>
      <c r="O71" s="7">
        <v>135000</v>
      </c>
      <c r="P71" s="7">
        <v>13500</v>
      </c>
      <c r="Q71" s="7">
        <v>121500</v>
      </c>
      <c r="R71" s="7">
        <f t="shared" si="6"/>
        <v>121500</v>
      </c>
      <c r="S71" t="s">
        <v>25</v>
      </c>
      <c r="T71" t="str">
        <f t="shared" si="7"/>
        <v>Transfer</v>
      </c>
      <c r="U71" t="s">
        <v>34</v>
      </c>
      <c r="V71">
        <v>4</v>
      </c>
      <c r="W71">
        <f t="shared" si="8"/>
        <v>4</v>
      </c>
      <c r="Y71" t="str">
        <f t="shared" si="9"/>
        <v/>
      </c>
      <c r="Z71" t="s">
        <v>27</v>
      </c>
      <c r="AC71" t="str">
        <f>IF(COUNTIF($A:$A,A71)&gt;1,"Duplicate","Unique")</f>
        <v>Unique</v>
      </c>
    </row>
    <row r="72" spans="1:29" x14ac:dyDescent="0.35">
      <c r="A72" t="s">
        <v>175</v>
      </c>
      <c r="B72" t="s">
        <v>176</v>
      </c>
      <c r="C72" s="9">
        <f t="shared" si="5"/>
        <v>45881</v>
      </c>
      <c r="D72" t="s">
        <v>123</v>
      </c>
      <c r="E72" t="str">
        <v>Yogyakarta</v>
      </c>
      <c r="F72" t="s">
        <v>30</v>
      </c>
      <c r="G72" t="s">
        <v>99</v>
      </c>
      <c r="H72" t="str">
        <v>Live Streaming</v>
      </c>
      <c r="I72" t="s">
        <v>22</v>
      </c>
      <c r="J72" t="str">
        <v>Whatsapp</v>
      </c>
      <c r="K72" t="s">
        <v>23</v>
      </c>
      <c r="L72">
        <v>4</v>
      </c>
      <c r="M72">
        <v>4</v>
      </c>
      <c r="N72" t="s">
        <v>41</v>
      </c>
      <c r="O72" s="7">
        <v>640000</v>
      </c>
      <c r="P72" s="7">
        <v>0</v>
      </c>
      <c r="Q72" s="7">
        <v>640000</v>
      </c>
      <c r="R72" s="7">
        <f t="shared" si="6"/>
        <v>640000</v>
      </c>
      <c r="S72" t="s">
        <v>78</v>
      </c>
      <c r="T72" t="str">
        <f t="shared" si="7"/>
        <v>Cash</v>
      </c>
      <c r="U72" t="s">
        <v>34</v>
      </c>
      <c r="V72">
        <v>5</v>
      </c>
      <c r="W72">
        <f t="shared" si="8"/>
        <v>5</v>
      </c>
      <c r="Y72" t="str">
        <f t="shared" si="9"/>
        <v/>
      </c>
      <c r="Z72" t="s">
        <v>48</v>
      </c>
      <c r="AA72" t="s">
        <v>96</v>
      </c>
      <c r="AC72" t="str">
        <f>IF(COUNTIF($A:$A,A72)&gt;1,"Duplicate","Unique")</f>
        <v>Unique</v>
      </c>
    </row>
    <row r="73" spans="1:29" x14ac:dyDescent="0.35">
      <c r="A73" t="s">
        <v>177</v>
      </c>
      <c r="B73" s="2">
        <v>45876</v>
      </c>
      <c r="C73" s="9">
        <f t="shared" si="5"/>
        <v>45876</v>
      </c>
      <c r="D73" t="s">
        <v>178</v>
      </c>
      <c r="E73" t="str">
        <v>Bandung</v>
      </c>
      <c r="F73" t="s">
        <v>30</v>
      </c>
      <c r="G73" t="s">
        <v>31</v>
      </c>
      <c r="H73" t="str">
        <v>Product Photoshoot</v>
      </c>
      <c r="I73" t="s">
        <v>54</v>
      </c>
      <c r="J73" t="str">
        <v>Referral</v>
      </c>
      <c r="K73" t="s">
        <v>47</v>
      </c>
      <c r="L73" t="s">
        <v>104</v>
      </c>
      <c r="M73">
        <v>2</v>
      </c>
      <c r="N73" t="s">
        <v>41</v>
      </c>
      <c r="O73" s="7">
        <v>320000</v>
      </c>
      <c r="P73" s="7">
        <v>48000</v>
      </c>
      <c r="Q73" s="7">
        <v>272000</v>
      </c>
      <c r="R73" s="7">
        <f t="shared" si="6"/>
        <v>272000</v>
      </c>
      <c r="S73" t="s">
        <v>33</v>
      </c>
      <c r="T73" t="str">
        <f t="shared" si="7"/>
        <v>Virtual Account</v>
      </c>
      <c r="U73" t="s">
        <v>56</v>
      </c>
      <c r="W73" t="str">
        <f t="shared" si="8"/>
        <v/>
      </c>
      <c r="Y73" t="str">
        <f t="shared" si="9"/>
        <v/>
      </c>
      <c r="Z73" t="s">
        <v>43</v>
      </c>
      <c r="AC73" t="str">
        <f>IF(COUNTIF($A:$A,A73)&gt;1,"Duplicate","Unique")</f>
        <v>Unique</v>
      </c>
    </row>
    <row r="74" spans="1:29" x14ac:dyDescent="0.35">
      <c r="A74" t="s">
        <v>179</v>
      </c>
      <c r="B74" t="s">
        <v>180</v>
      </c>
      <c r="C74" s="9">
        <f t="shared" si="5"/>
        <v>45675</v>
      </c>
      <c r="D74" t="s">
        <v>37</v>
      </c>
      <c r="E74" t="str">
        <v>Bandung</v>
      </c>
      <c r="F74" t="s">
        <v>20</v>
      </c>
      <c r="G74" t="s">
        <v>103</v>
      </c>
      <c r="H74" t="str">
        <v>Video Podcast</v>
      </c>
      <c r="I74" t="s">
        <v>22</v>
      </c>
      <c r="J74" t="str">
        <v>Whatsapp</v>
      </c>
      <c r="K74" t="s">
        <v>40</v>
      </c>
      <c r="L74">
        <v>1</v>
      </c>
      <c r="M74">
        <v>1</v>
      </c>
      <c r="N74" t="s">
        <v>32</v>
      </c>
      <c r="O74" s="7">
        <v>135000</v>
      </c>
      <c r="P74" s="7">
        <v>0</v>
      </c>
      <c r="Q74" s="7">
        <v>135000</v>
      </c>
      <c r="R74" s="7">
        <f t="shared" si="6"/>
        <v>135000</v>
      </c>
      <c r="S74" t="s">
        <v>25</v>
      </c>
      <c r="T74" t="str">
        <f t="shared" si="7"/>
        <v>Transfer</v>
      </c>
      <c r="U74" t="s">
        <v>56</v>
      </c>
      <c r="V74">
        <v>4</v>
      </c>
      <c r="W74">
        <f t="shared" si="8"/>
        <v>4</v>
      </c>
      <c r="Y74" t="str">
        <f t="shared" si="9"/>
        <v/>
      </c>
      <c r="Z74" t="s">
        <v>43</v>
      </c>
      <c r="AA74" t="s">
        <v>96</v>
      </c>
      <c r="AC74" t="str">
        <f>IF(COUNTIF($A:$A,A74)&gt;1,"Duplicate","Unique")</f>
        <v>Unique</v>
      </c>
    </row>
    <row r="75" spans="1:29" x14ac:dyDescent="0.35">
      <c r="A75" t="s">
        <v>181</v>
      </c>
      <c r="B75" s="2">
        <v>45945</v>
      </c>
      <c r="C75" s="9">
        <f t="shared" si="5"/>
        <v>45945</v>
      </c>
      <c r="D75" t="s">
        <v>58</v>
      </c>
      <c r="E75" t="str">
        <v>Jakarta</v>
      </c>
      <c r="F75" t="s">
        <v>59</v>
      </c>
      <c r="G75" t="s">
        <v>182</v>
      </c>
      <c r="H75" t="str">
        <v>Product Photoshoot</v>
      </c>
      <c r="I75" t="s">
        <v>54</v>
      </c>
      <c r="J75" t="str">
        <v>Referral</v>
      </c>
      <c r="K75" t="s">
        <v>23</v>
      </c>
      <c r="L75">
        <v>2</v>
      </c>
      <c r="M75">
        <v>2</v>
      </c>
      <c r="N75" t="s">
        <v>55</v>
      </c>
      <c r="O75" s="7">
        <v>430000</v>
      </c>
      <c r="P75" s="7">
        <v>0</v>
      </c>
      <c r="Q75" s="7">
        <v>430000</v>
      </c>
      <c r="R75" s="7">
        <f t="shared" si="6"/>
        <v>430000</v>
      </c>
      <c r="S75" t="s">
        <v>33</v>
      </c>
      <c r="T75" t="str">
        <f t="shared" si="7"/>
        <v>Virtual Account</v>
      </c>
      <c r="U75" t="s">
        <v>26</v>
      </c>
      <c r="V75">
        <v>4</v>
      </c>
      <c r="W75">
        <f t="shared" si="8"/>
        <v>4</v>
      </c>
      <c r="X75" t="s">
        <v>183</v>
      </c>
      <c r="Y75" t="str">
        <f t="shared" si="9"/>
        <v>Technical issue</v>
      </c>
      <c r="Z75" t="s">
        <v>48</v>
      </c>
      <c r="AC75" t="str">
        <f>IF(COUNTIF($A:$A,A75)&gt;1,"Duplicate","Unique")</f>
        <v>Unique</v>
      </c>
    </row>
    <row r="76" spans="1:29" x14ac:dyDescent="0.35">
      <c r="A76" t="s">
        <v>184</v>
      </c>
      <c r="B76" s="2">
        <v>45806</v>
      </c>
      <c r="C76" s="9">
        <f t="shared" si="5"/>
        <v>45806</v>
      </c>
      <c r="D76" t="s">
        <v>142</v>
      </c>
      <c r="E76" t="str">
        <v>Surabaya</v>
      </c>
      <c r="F76" t="s">
        <v>46</v>
      </c>
      <c r="G76" t="s">
        <v>21</v>
      </c>
      <c r="H76" t="str">
        <v>Content Batch</v>
      </c>
      <c r="I76" t="s">
        <v>39</v>
      </c>
      <c r="J76" t="str">
        <v>Website</v>
      </c>
      <c r="K76" t="s">
        <v>40</v>
      </c>
      <c r="L76" t="s">
        <v>51</v>
      </c>
      <c r="M76">
        <v>4</v>
      </c>
      <c r="N76" t="s">
        <v>55</v>
      </c>
      <c r="O76" s="7">
        <v>1000000</v>
      </c>
      <c r="P76" s="7">
        <v>0</v>
      </c>
      <c r="Q76" s="7">
        <v>1000000</v>
      </c>
      <c r="R76" s="7">
        <f t="shared" si="6"/>
        <v>1000000</v>
      </c>
      <c r="S76" t="s">
        <v>25</v>
      </c>
      <c r="T76" t="str">
        <f t="shared" si="7"/>
        <v>Transfer</v>
      </c>
      <c r="U76" t="s">
        <v>34</v>
      </c>
      <c r="W76" t="str">
        <f t="shared" si="8"/>
        <v/>
      </c>
      <c r="Y76" t="str">
        <f t="shared" si="9"/>
        <v/>
      </c>
      <c r="Z76" t="s">
        <v>43</v>
      </c>
      <c r="AA76" t="s">
        <v>96</v>
      </c>
      <c r="AC76" t="str">
        <f>IF(COUNTIF($A:$A,A76)&gt;1,"Duplicate","Unique")</f>
        <v>Unique</v>
      </c>
    </row>
    <row r="77" spans="1:29" x14ac:dyDescent="0.35">
      <c r="A77" t="s">
        <v>185</v>
      </c>
      <c r="B77" s="2">
        <v>45927</v>
      </c>
      <c r="C77" s="9">
        <f t="shared" si="5"/>
        <v>45927</v>
      </c>
      <c r="D77" t="s">
        <v>69</v>
      </c>
      <c r="E77" t="str">
        <v>Yogyakarta</v>
      </c>
      <c r="F77" t="s">
        <v>30</v>
      </c>
      <c r="G77" t="s">
        <v>90</v>
      </c>
      <c r="H77" t="str">
        <v>Voice Over</v>
      </c>
      <c r="I77" t="s">
        <v>84</v>
      </c>
      <c r="J77" t="str">
        <v>Instagram</v>
      </c>
      <c r="K77" t="s">
        <v>23</v>
      </c>
      <c r="L77">
        <v>2</v>
      </c>
      <c r="M77">
        <v>2</v>
      </c>
      <c r="N77" t="s">
        <v>41</v>
      </c>
      <c r="O77" s="7">
        <v>320000</v>
      </c>
      <c r="P77" s="7">
        <v>0</v>
      </c>
      <c r="Q77" s="7">
        <v>320000</v>
      </c>
      <c r="R77" s="7">
        <f t="shared" si="6"/>
        <v>320000</v>
      </c>
      <c r="S77" t="s">
        <v>25</v>
      </c>
      <c r="T77" t="str">
        <f t="shared" si="7"/>
        <v>Transfer</v>
      </c>
      <c r="U77" t="s">
        <v>34</v>
      </c>
      <c r="W77" t="str">
        <f t="shared" si="8"/>
        <v/>
      </c>
      <c r="Y77" t="str">
        <f t="shared" si="9"/>
        <v/>
      </c>
      <c r="Z77" t="s">
        <v>60</v>
      </c>
      <c r="AA77" t="s">
        <v>35</v>
      </c>
      <c r="AC77" t="str">
        <f>IF(COUNTIF($A:$A,A77)&gt;1,"Duplicate","Unique")</f>
        <v>Unique</v>
      </c>
    </row>
    <row r="78" spans="1:29" x14ac:dyDescent="0.35">
      <c r="A78" t="s">
        <v>186</v>
      </c>
      <c r="B78" s="2">
        <v>45835</v>
      </c>
      <c r="C78" s="9">
        <f t="shared" si="5"/>
        <v>45835</v>
      </c>
      <c r="D78" t="s">
        <v>45</v>
      </c>
      <c r="E78" t="str">
        <v>Malang</v>
      </c>
      <c r="F78" t="s">
        <v>59</v>
      </c>
      <c r="G78" t="s">
        <v>38</v>
      </c>
      <c r="H78" t="str">
        <v>Podcast Recording</v>
      </c>
      <c r="I78" t="s">
        <v>22</v>
      </c>
      <c r="J78" t="str">
        <v>Whatsapp</v>
      </c>
      <c r="K78" t="s">
        <v>23</v>
      </c>
      <c r="L78">
        <v>3</v>
      </c>
      <c r="M78">
        <v>3</v>
      </c>
      <c r="N78" t="s">
        <v>41</v>
      </c>
      <c r="O78" s="7">
        <v>525000</v>
      </c>
      <c r="P78" s="7">
        <v>52500</v>
      </c>
      <c r="Q78" s="7">
        <v>472500</v>
      </c>
      <c r="R78" s="7">
        <f t="shared" si="6"/>
        <v>472500</v>
      </c>
      <c r="S78" t="s">
        <v>33</v>
      </c>
      <c r="T78" t="str">
        <f t="shared" si="7"/>
        <v>Virtual Account</v>
      </c>
      <c r="U78" t="s">
        <v>34</v>
      </c>
      <c r="V78">
        <v>5</v>
      </c>
      <c r="W78">
        <f t="shared" si="8"/>
        <v>5</v>
      </c>
      <c r="Y78" t="str">
        <f t="shared" si="9"/>
        <v/>
      </c>
      <c r="Z78" t="s">
        <v>72</v>
      </c>
      <c r="AC78" t="str">
        <f>IF(COUNTIF($A:$A,A78)&gt;1,"Duplicate","Unique")</f>
        <v>Unique</v>
      </c>
    </row>
    <row r="79" spans="1:29" x14ac:dyDescent="0.35">
      <c r="A79" t="s">
        <v>187</v>
      </c>
      <c r="B79" s="2">
        <v>45699</v>
      </c>
      <c r="C79" s="9">
        <f t="shared" si="5"/>
        <v>45699</v>
      </c>
      <c r="D79" t="s">
        <v>58</v>
      </c>
      <c r="E79" t="str">
        <v>Jakarta</v>
      </c>
      <c r="F79" t="s">
        <v>80</v>
      </c>
      <c r="G79" t="s">
        <v>31</v>
      </c>
      <c r="H79" t="str">
        <v>Product Photoshoot</v>
      </c>
      <c r="I79" t="s">
        <v>39</v>
      </c>
      <c r="J79" t="str">
        <v>Website</v>
      </c>
      <c r="K79" t="s">
        <v>71</v>
      </c>
      <c r="L79">
        <v>3</v>
      </c>
      <c r="M79">
        <v>3</v>
      </c>
      <c r="N79" t="s">
        <v>41</v>
      </c>
      <c r="O79" s="7">
        <v>675000</v>
      </c>
      <c r="P79" s="7">
        <v>101250</v>
      </c>
      <c r="Q79" s="7">
        <v>573750</v>
      </c>
      <c r="R79" s="7">
        <f t="shared" si="6"/>
        <v>573750</v>
      </c>
      <c r="S79" t="s">
        <v>25</v>
      </c>
      <c r="T79" t="str">
        <f t="shared" si="7"/>
        <v>Transfer</v>
      </c>
      <c r="U79" t="s">
        <v>34</v>
      </c>
      <c r="V79">
        <v>4</v>
      </c>
      <c r="W79">
        <f t="shared" si="8"/>
        <v>4</v>
      </c>
      <c r="Y79" t="str">
        <f t="shared" si="9"/>
        <v/>
      </c>
      <c r="Z79" t="s">
        <v>27</v>
      </c>
      <c r="AA79" t="s">
        <v>96</v>
      </c>
      <c r="AC79" t="str">
        <f>IF(COUNTIF($A:$A,A79)&gt;1,"Duplicate","Unique")</f>
        <v>Unique</v>
      </c>
    </row>
    <row r="80" spans="1:29" x14ac:dyDescent="0.35">
      <c r="A80" t="s">
        <v>188</v>
      </c>
      <c r="B80" s="2">
        <v>45834</v>
      </c>
      <c r="C80" s="9">
        <f t="shared" si="5"/>
        <v>45834</v>
      </c>
      <c r="D80" t="s">
        <v>123</v>
      </c>
      <c r="E80" t="str">
        <v>Yogyakarta</v>
      </c>
      <c r="F80" t="s">
        <v>46</v>
      </c>
      <c r="G80" t="s">
        <v>31</v>
      </c>
      <c r="H80" t="str">
        <v>Product Photoshoot</v>
      </c>
      <c r="I80" t="s">
        <v>112</v>
      </c>
      <c r="J80" t="str">
        <v>Marketplace</v>
      </c>
      <c r="K80" t="s">
        <v>71</v>
      </c>
      <c r="L80">
        <v>1</v>
      </c>
      <c r="M80">
        <v>1</v>
      </c>
      <c r="N80" t="s">
        <v>41</v>
      </c>
      <c r="O80" s="7">
        <v>210000</v>
      </c>
      <c r="P80" s="7">
        <v>10500</v>
      </c>
      <c r="Q80" s="7">
        <v>199500</v>
      </c>
      <c r="R80" s="7">
        <f t="shared" si="6"/>
        <v>199500</v>
      </c>
      <c r="S80" t="s">
        <v>42</v>
      </c>
      <c r="T80" t="str">
        <f t="shared" si="7"/>
        <v>E-Wallet</v>
      </c>
      <c r="U80" t="s">
        <v>34</v>
      </c>
      <c r="V80">
        <v>4</v>
      </c>
      <c r="W80">
        <f t="shared" si="8"/>
        <v>4</v>
      </c>
      <c r="Y80" t="str">
        <f t="shared" si="9"/>
        <v/>
      </c>
      <c r="Z80" t="s">
        <v>48</v>
      </c>
      <c r="AC80" t="str">
        <f>IF(COUNTIF($A:$A,A80)&gt;1,"Duplicate","Unique")</f>
        <v>Unique</v>
      </c>
    </row>
    <row r="81" spans="1:29" x14ac:dyDescent="0.35">
      <c r="A81" t="s">
        <v>189</v>
      </c>
      <c r="B81" s="2">
        <v>45818</v>
      </c>
      <c r="C81" s="9">
        <f t="shared" si="5"/>
        <v>45818</v>
      </c>
      <c r="D81" t="s">
        <v>37</v>
      </c>
      <c r="E81" t="str">
        <v>Bandung</v>
      </c>
      <c r="F81" t="s">
        <v>46</v>
      </c>
      <c r="G81" t="s">
        <v>153</v>
      </c>
      <c r="H81" t="str">
        <v>Live Streaming</v>
      </c>
      <c r="I81" t="s">
        <v>112</v>
      </c>
      <c r="J81" t="str">
        <v>Marketplace</v>
      </c>
      <c r="K81" t="s">
        <v>66</v>
      </c>
      <c r="L81">
        <v>1</v>
      </c>
      <c r="M81">
        <v>1</v>
      </c>
      <c r="N81" t="s">
        <v>24</v>
      </c>
      <c r="O81" s="7">
        <v>175000</v>
      </c>
      <c r="P81" s="7">
        <v>8750</v>
      </c>
      <c r="Q81" s="7">
        <v>166250</v>
      </c>
      <c r="R81" s="7">
        <f t="shared" si="6"/>
        <v>166250</v>
      </c>
      <c r="S81" t="s">
        <v>33</v>
      </c>
      <c r="T81" t="str">
        <f t="shared" si="7"/>
        <v>Virtual Account</v>
      </c>
      <c r="U81" t="s">
        <v>34</v>
      </c>
      <c r="V81">
        <v>5</v>
      </c>
      <c r="W81">
        <f t="shared" si="8"/>
        <v>5</v>
      </c>
      <c r="Y81" t="str">
        <f t="shared" si="9"/>
        <v/>
      </c>
      <c r="Z81" t="s">
        <v>72</v>
      </c>
      <c r="AA81" t="s">
        <v>96</v>
      </c>
      <c r="AC81" t="str">
        <f>IF(COUNTIF($A:$A,A81)&gt;1,"Duplicate","Unique")</f>
        <v>Unique</v>
      </c>
    </row>
    <row r="82" spans="1:29" x14ac:dyDescent="0.35">
      <c r="A82" t="s">
        <v>190</v>
      </c>
      <c r="B82" s="2">
        <v>45878</v>
      </c>
      <c r="C82" s="9">
        <f t="shared" si="5"/>
        <v>45878</v>
      </c>
      <c r="D82" t="s">
        <v>178</v>
      </c>
      <c r="E82" t="str">
        <v>Bandung</v>
      </c>
      <c r="F82" t="s">
        <v>59</v>
      </c>
      <c r="G82" t="s">
        <v>21</v>
      </c>
      <c r="H82" t="str">
        <v>Content Batch</v>
      </c>
      <c r="I82" t="s">
        <v>22</v>
      </c>
      <c r="J82" t="str">
        <v>Whatsapp</v>
      </c>
      <c r="K82" t="s">
        <v>66</v>
      </c>
      <c r="L82" t="s">
        <v>104</v>
      </c>
      <c r="M82">
        <v>2</v>
      </c>
      <c r="N82" t="s">
        <v>55</v>
      </c>
      <c r="O82" s="7">
        <v>430000</v>
      </c>
      <c r="P82" s="7">
        <v>0</v>
      </c>
      <c r="Q82" s="7">
        <v>430000</v>
      </c>
      <c r="R82" s="7">
        <f t="shared" si="6"/>
        <v>430000</v>
      </c>
      <c r="S82" t="s">
        <v>78</v>
      </c>
      <c r="T82" t="str">
        <f t="shared" si="7"/>
        <v>Cash</v>
      </c>
      <c r="U82" t="s">
        <v>34</v>
      </c>
      <c r="V82">
        <v>5</v>
      </c>
      <c r="W82">
        <f t="shared" si="8"/>
        <v>5</v>
      </c>
      <c r="Y82" t="str">
        <f t="shared" si="9"/>
        <v/>
      </c>
      <c r="Z82" t="s">
        <v>43</v>
      </c>
      <c r="AC82" t="str">
        <f>IF(COUNTIF($A:$A,A82)&gt;1,"Duplicate","Unique")</f>
        <v>Unique</v>
      </c>
    </row>
    <row r="83" spans="1:29" x14ac:dyDescent="0.35">
      <c r="A83" t="s">
        <v>191</v>
      </c>
      <c r="B83" s="2">
        <v>45849</v>
      </c>
      <c r="C83" s="9">
        <f t="shared" si="5"/>
        <v>45849</v>
      </c>
      <c r="D83" t="s">
        <v>53</v>
      </c>
      <c r="E83" t="str">
        <v>Surabaya</v>
      </c>
      <c r="F83" t="s">
        <v>80</v>
      </c>
      <c r="G83" t="s">
        <v>31</v>
      </c>
      <c r="H83" t="str">
        <v>Product Photoshoot</v>
      </c>
      <c r="I83" t="s">
        <v>39</v>
      </c>
      <c r="J83" t="str">
        <v>Website</v>
      </c>
      <c r="K83" t="s">
        <v>23</v>
      </c>
      <c r="L83">
        <v>1</v>
      </c>
      <c r="M83">
        <v>1</v>
      </c>
      <c r="N83" t="s">
        <v>24</v>
      </c>
      <c r="O83" s="7">
        <v>190000</v>
      </c>
      <c r="P83" s="7">
        <v>0</v>
      </c>
      <c r="Q83" s="7">
        <v>190000</v>
      </c>
      <c r="R83" s="7">
        <f t="shared" si="6"/>
        <v>190000</v>
      </c>
      <c r="S83" t="s">
        <v>78</v>
      </c>
      <c r="T83" t="str">
        <f t="shared" si="7"/>
        <v>Cash</v>
      </c>
      <c r="U83" t="s">
        <v>56</v>
      </c>
      <c r="V83">
        <v>4</v>
      </c>
      <c r="W83">
        <f t="shared" si="8"/>
        <v>4</v>
      </c>
      <c r="Y83" t="str">
        <f t="shared" si="9"/>
        <v/>
      </c>
      <c r="Z83" t="s">
        <v>27</v>
      </c>
      <c r="AA83" t="s">
        <v>94</v>
      </c>
      <c r="AC83" t="str">
        <f>IF(COUNTIF($A:$A,A83)&gt;1,"Duplicate","Unique")</f>
        <v>Unique</v>
      </c>
    </row>
    <row r="84" spans="1:29" x14ac:dyDescent="0.35">
      <c r="A84" t="s">
        <v>192</v>
      </c>
      <c r="B84" s="2">
        <v>45961</v>
      </c>
      <c r="C84" s="9">
        <f t="shared" si="5"/>
        <v>45961</v>
      </c>
      <c r="D84" t="s">
        <v>142</v>
      </c>
      <c r="E84" t="str">
        <v>Surabaya</v>
      </c>
      <c r="F84" t="s">
        <v>80</v>
      </c>
      <c r="G84" t="s">
        <v>90</v>
      </c>
      <c r="H84" t="str">
        <v>Voice Over</v>
      </c>
      <c r="I84" t="s">
        <v>112</v>
      </c>
      <c r="J84" t="str">
        <v>Marketplace</v>
      </c>
      <c r="K84" t="s">
        <v>66</v>
      </c>
      <c r="L84">
        <v>4</v>
      </c>
      <c r="M84">
        <v>4</v>
      </c>
      <c r="N84" t="s">
        <v>24</v>
      </c>
      <c r="O84" s="7">
        <v>760000</v>
      </c>
      <c r="P84" s="7">
        <v>0</v>
      </c>
      <c r="Q84" s="7">
        <v>760000</v>
      </c>
      <c r="R84" s="7">
        <f t="shared" si="6"/>
        <v>760000</v>
      </c>
      <c r="S84" t="s">
        <v>33</v>
      </c>
      <c r="T84" t="str">
        <f t="shared" si="7"/>
        <v>Virtual Account</v>
      </c>
      <c r="U84" t="s">
        <v>34</v>
      </c>
      <c r="V84">
        <v>4</v>
      </c>
      <c r="W84">
        <f t="shared" si="8"/>
        <v>4</v>
      </c>
      <c r="Y84" t="str">
        <f t="shared" si="9"/>
        <v/>
      </c>
      <c r="Z84" t="s">
        <v>48</v>
      </c>
      <c r="AA84" t="s">
        <v>94</v>
      </c>
      <c r="AC84" t="str">
        <f>IF(COUNTIF($A:$A,A84)&gt;1,"Duplicate","Unique")</f>
        <v>Unique</v>
      </c>
    </row>
    <row r="85" spans="1:29" x14ac:dyDescent="0.35">
      <c r="A85" t="s">
        <v>193</v>
      </c>
      <c r="B85" t="s">
        <v>194</v>
      </c>
      <c r="C85" s="9">
        <f t="shared" si="5"/>
        <v>45953</v>
      </c>
      <c r="D85" t="s">
        <v>178</v>
      </c>
      <c r="E85" t="str">
        <v>Bandung</v>
      </c>
      <c r="F85" t="s">
        <v>20</v>
      </c>
      <c r="G85" t="s">
        <v>151</v>
      </c>
      <c r="H85" t="str">
        <v>Voice Over</v>
      </c>
      <c r="I85" t="s">
        <v>54</v>
      </c>
      <c r="J85" t="str">
        <v>Referral</v>
      </c>
      <c r="K85" t="s">
        <v>23</v>
      </c>
      <c r="L85">
        <v>4</v>
      </c>
      <c r="M85">
        <v>4</v>
      </c>
      <c r="N85" t="s">
        <v>55</v>
      </c>
      <c r="O85" s="7">
        <v>640000</v>
      </c>
      <c r="P85" s="7">
        <v>0</v>
      </c>
      <c r="Q85" s="7">
        <v>640000</v>
      </c>
      <c r="R85" s="7">
        <f t="shared" si="6"/>
        <v>640000</v>
      </c>
      <c r="S85" t="s">
        <v>78</v>
      </c>
      <c r="T85" t="str">
        <f t="shared" si="7"/>
        <v>Cash</v>
      </c>
      <c r="U85" t="s">
        <v>34</v>
      </c>
      <c r="V85">
        <v>5</v>
      </c>
      <c r="W85">
        <f t="shared" si="8"/>
        <v>5</v>
      </c>
      <c r="Y85" t="str">
        <f t="shared" si="9"/>
        <v/>
      </c>
      <c r="Z85" t="s">
        <v>48</v>
      </c>
      <c r="AA85" t="s">
        <v>94</v>
      </c>
      <c r="AC85" t="str">
        <f>IF(COUNTIF($A:$A,A85)&gt;1,"Duplicate","Unique")</f>
        <v>Unique</v>
      </c>
    </row>
    <row r="86" spans="1:29" x14ac:dyDescent="0.35">
      <c r="A86" t="s">
        <v>195</v>
      </c>
      <c r="B86" s="2">
        <v>45899</v>
      </c>
      <c r="C86" s="9">
        <f t="shared" si="5"/>
        <v>45899</v>
      </c>
      <c r="D86" t="s">
        <v>58</v>
      </c>
      <c r="E86" t="str">
        <v>Jakarta</v>
      </c>
      <c r="F86" t="s">
        <v>46</v>
      </c>
      <c r="G86" t="s">
        <v>90</v>
      </c>
      <c r="H86" t="str">
        <v>Voice Over</v>
      </c>
      <c r="I86" t="s">
        <v>39</v>
      </c>
      <c r="J86" t="str">
        <v>Website</v>
      </c>
      <c r="K86" t="s">
        <v>71</v>
      </c>
      <c r="L86">
        <v>2</v>
      </c>
      <c r="M86">
        <v>2</v>
      </c>
      <c r="N86" t="s">
        <v>41</v>
      </c>
      <c r="O86" s="7">
        <v>420000</v>
      </c>
      <c r="P86" s="7">
        <v>0</v>
      </c>
      <c r="Q86" s="7">
        <v>420000</v>
      </c>
      <c r="R86" s="7">
        <f t="shared" si="6"/>
        <v>420000</v>
      </c>
      <c r="S86" t="s">
        <v>78</v>
      </c>
      <c r="T86" t="str">
        <f t="shared" si="7"/>
        <v>Cash</v>
      </c>
      <c r="U86" t="s">
        <v>56</v>
      </c>
      <c r="V86">
        <v>4</v>
      </c>
      <c r="W86">
        <f t="shared" si="8"/>
        <v>4</v>
      </c>
      <c r="Y86" t="str">
        <f t="shared" si="9"/>
        <v/>
      </c>
      <c r="Z86" t="s">
        <v>60</v>
      </c>
      <c r="AA86" t="s">
        <v>49</v>
      </c>
      <c r="AC86" t="str">
        <f>IF(COUNTIF($A:$A,A86)&gt;1,"Duplicate","Unique")</f>
        <v>Unique</v>
      </c>
    </row>
    <row r="87" spans="1:29" x14ac:dyDescent="0.35">
      <c r="A87" t="s">
        <v>196</v>
      </c>
      <c r="B87" s="2">
        <v>45810</v>
      </c>
      <c r="C87" s="9">
        <f t="shared" si="5"/>
        <v>45810</v>
      </c>
      <c r="D87" t="s">
        <v>53</v>
      </c>
      <c r="E87" t="str">
        <v>Surabaya</v>
      </c>
      <c r="F87" t="s">
        <v>46</v>
      </c>
      <c r="G87" t="s">
        <v>21</v>
      </c>
      <c r="H87" t="str">
        <v>Content Batch</v>
      </c>
      <c r="I87" t="s">
        <v>54</v>
      </c>
      <c r="J87" t="str">
        <v>Referral</v>
      </c>
      <c r="K87" t="s">
        <v>40</v>
      </c>
      <c r="L87">
        <v>1</v>
      </c>
      <c r="M87">
        <v>1</v>
      </c>
      <c r="N87" t="s">
        <v>32</v>
      </c>
      <c r="O87" s="7">
        <v>225000</v>
      </c>
      <c r="P87" s="7">
        <v>11250</v>
      </c>
      <c r="Q87" s="7">
        <v>213750</v>
      </c>
      <c r="R87" s="7">
        <f t="shared" si="6"/>
        <v>213750</v>
      </c>
      <c r="S87" t="s">
        <v>33</v>
      </c>
      <c r="T87" t="str">
        <f t="shared" si="7"/>
        <v>Virtual Account</v>
      </c>
      <c r="U87" t="s">
        <v>34</v>
      </c>
      <c r="W87" t="str">
        <f t="shared" si="8"/>
        <v/>
      </c>
      <c r="Y87" t="str">
        <f t="shared" si="9"/>
        <v/>
      </c>
      <c r="Z87" t="s">
        <v>48</v>
      </c>
      <c r="AC87" t="str">
        <f>IF(COUNTIF($A:$A,A87)&gt;1,"Duplicate","Unique")</f>
        <v>Unique</v>
      </c>
    </row>
    <row r="88" spans="1:29" x14ac:dyDescent="0.35">
      <c r="A88" t="s">
        <v>197</v>
      </c>
      <c r="B88" t="s">
        <v>198</v>
      </c>
      <c r="C88" s="9">
        <f t="shared" si="5"/>
        <v>45796</v>
      </c>
      <c r="D88" t="s">
        <v>199</v>
      </c>
      <c r="E88" t="str">
        <v>Malang</v>
      </c>
      <c r="F88" t="s">
        <v>59</v>
      </c>
      <c r="G88" t="s">
        <v>103</v>
      </c>
      <c r="H88" t="str">
        <v>Video Podcast</v>
      </c>
      <c r="I88" t="s">
        <v>84</v>
      </c>
      <c r="J88" t="str">
        <v>Instagram</v>
      </c>
      <c r="K88" t="s">
        <v>71</v>
      </c>
      <c r="L88">
        <v>1</v>
      </c>
      <c r="M88">
        <v>1</v>
      </c>
      <c r="N88" t="s">
        <v>55</v>
      </c>
      <c r="O88" s="7">
        <v>215000</v>
      </c>
      <c r="P88" s="7">
        <v>32250</v>
      </c>
      <c r="Q88" s="7">
        <v>182750</v>
      </c>
      <c r="R88" s="7">
        <f t="shared" si="6"/>
        <v>182750</v>
      </c>
      <c r="S88" t="s">
        <v>42</v>
      </c>
      <c r="T88" t="str">
        <f t="shared" si="7"/>
        <v>E-Wallet</v>
      </c>
      <c r="U88" t="s">
        <v>34</v>
      </c>
      <c r="V88">
        <v>4</v>
      </c>
      <c r="W88">
        <f t="shared" si="8"/>
        <v>4</v>
      </c>
      <c r="Y88" t="str">
        <f t="shared" si="9"/>
        <v/>
      </c>
      <c r="Z88" t="s">
        <v>60</v>
      </c>
      <c r="AC88" t="str">
        <f>IF(COUNTIF($A:$A,A88)&gt;1,"Duplicate","Unique")</f>
        <v>Unique</v>
      </c>
    </row>
    <row r="89" spans="1:29" x14ac:dyDescent="0.35">
      <c r="A89" t="s">
        <v>200</v>
      </c>
      <c r="B89" t="s">
        <v>141</v>
      </c>
      <c r="C89" s="9">
        <f t="shared" si="5"/>
        <v>45866</v>
      </c>
      <c r="D89" t="s">
        <v>63</v>
      </c>
      <c r="E89" t="str">
        <v>Yogyakarta</v>
      </c>
      <c r="F89" t="s">
        <v>30</v>
      </c>
      <c r="G89" t="s">
        <v>21</v>
      </c>
      <c r="H89" t="str">
        <v>Content Batch</v>
      </c>
      <c r="I89" t="s">
        <v>39</v>
      </c>
      <c r="J89" t="str">
        <v>Website</v>
      </c>
      <c r="K89" t="s">
        <v>40</v>
      </c>
      <c r="L89">
        <v>3</v>
      </c>
      <c r="M89">
        <v>3</v>
      </c>
      <c r="N89" t="s">
        <v>55</v>
      </c>
      <c r="O89" s="7">
        <v>600000</v>
      </c>
      <c r="P89" s="7">
        <v>60000</v>
      </c>
      <c r="Q89" s="7">
        <v>540000</v>
      </c>
      <c r="R89" s="7">
        <f t="shared" si="6"/>
        <v>540000</v>
      </c>
      <c r="S89" t="s">
        <v>25</v>
      </c>
      <c r="T89" t="str">
        <f t="shared" si="7"/>
        <v>Transfer</v>
      </c>
      <c r="U89" t="s">
        <v>34</v>
      </c>
      <c r="V89">
        <v>5</v>
      </c>
      <c r="W89">
        <f t="shared" si="8"/>
        <v>5</v>
      </c>
      <c r="Y89" t="str">
        <f t="shared" si="9"/>
        <v/>
      </c>
      <c r="Z89" t="s">
        <v>60</v>
      </c>
      <c r="AA89" t="s">
        <v>94</v>
      </c>
      <c r="AC89" t="str">
        <f>IF(COUNTIF($A:$A,A89)&gt;1,"Duplicate","Unique")</f>
        <v>Unique</v>
      </c>
    </row>
    <row r="90" spans="1:29" x14ac:dyDescent="0.35">
      <c r="A90" t="s">
        <v>201</v>
      </c>
      <c r="B90" s="2">
        <v>45806</v>
      </c>
      <c r="C90" s="9">
        <f t="shared" si="5"/>
        <v>45806</v>
      </c>
      <c r="D90" t="s">
        <v>58</v>
      </c>
      <c r="E90" t="str">
        <v>Jakarta</v>
      </c>
      <c r="F90" t="s">
        <v>20</v>
      </c>
      <c r="G90" t="s">
        <v>31</v>
      </c>
      <c r="H90" t="str">
        <v>Product Photoshoot</v>
      </c>
      <c r="I90" t="s">
        <v>112</v>
      </c>
      <c r="J90" t="str">
        <v>Marketplace</v>
      </c>
      <c r="K90" t="s">
        <v>71</v>
      </c>
      <c r="L90">
        <v>2</v>
      </c>
      <c r="M90">
        <v>2</v>
      </c>
      <c r="N90" t="s">
        <v>32</v>
      </c>
      <c r="O90" s="7">
        <v>270000</v>
      </c>
      <c r="P90" s="7">
        <v>0</v>
      </c>
      <c r="Q90" s="7">
        <v>270000</v>
      </c>
      <c r="R90" s="7">
        <f t="shared" si="6"/>
        <v>270000</v>
      </c>
      <c r="S90" t="s">
        <v>33</v>
      </c>
      <c r="T90" t="str">
        <f t="shared" si="7"/>
        <v>Virtual Account</v>
      </c>
      <c r="U90" t="s">
        <v>34</v>
      </c>
      <c r="W90" t="str">
        <f t="shared" si="8"/>
        <v/>
      </c>
      <c r="Y90" t="str">
        <f t="shared" si="9"/>
        <v/>
      </c>
      <c r="Z90" t="s">
        <v>60</v>
      </c>
      <c r="AA90" t="s">
        <v>49</v>
      </c>
      <c r="AC90" t="str">
        <f>IF(COUNTIF($A:$A,A90)&gt;1,"Duplicate","Unique")</f>
        <v>Unique</v>
      </c>
    </row>
    <row r="91" spans="1:29" x14ac:dyDescent="0.35">
      <c r="A91" t="s">
        <v>202</v>
      </c>
      <c r="B91" t="s">
        <v>157</v>
      </c>
      <c r="C91" s="9">
        <f t="shared" si="5"/>
        <v>45747</v>
      </c>
      <c r="D91" t="s">
        <v>45</v>
      </c>
      <c r="E91" t="str">
        <v>Malang</v>
      </c>
      <c r="F91" t="s">
        <v>30</v>
      </c>
      <c r="G91" t="s">
        <v>99</v>
      </c>
      <c r="H91" t="str">
        <v>Live Streaming</v>
      </c>
      <c r="I91" t="s">
        <v>112</v>
      </c>
      <c r="J91" t="str">
        <v>Marketplace</v>
      </c>
      <c r="K91" t="s">
        <v>40</v>
      </c>
      <c r="L91">
        <v>1</v>
      </c>
      <c r="M91">
        <v>1</v>
      </c>
      <c r="N91" t="s">
        <v>32</v>
      </c>
      <c r="O91" s="7">
        <v>175000</v>
      </c>
      <c r="P91" s="7">
        <v>0</v>
      </c>
      <c r="Q91" s="7">
        <v>175000</v>
      </c>
      <c r="R91" s="7">
        <f t="shared" si="6"/>
        <v>175000</v>
      </c>
      <c r="S91" t="s">
        <v>25</v>
      </c>
      <c r="T91" t="str">
        <f t="shared" si="7"/>
        <v>Transfer</v>
      </c>
      <c r="U91" t="s">
        <v>34</v>
      </c>
      <c r="V91">
        <v>4</v>
      </c>
      <c r="W91">
        <f t="shared" si="8"/>
        <v>4</v>
      </c>
      <c r="Y91" t="str">
        <f t="shared" si="9"/>
        <v/>
      </c>
      <c r="Z91" t="s">
        <v>72</v>
      </c>
      <c r="AC91" t="str">
        <f>IF(COUNTIF($A:$A,A91)&gt;1,"Duplicate","Unique")</f>
        <v>Unique</v>
      </c>
    </row>
    <row r="92" spans="1:29" x14ac:dyDescent="0.35">
      <c r="A92" t="s">
        <v>203</v>
      </c>
      <c r="B92" s="2">
        <v>45999</v>
      </c>
      <c r="C92" s="9">
        <f t="shared" si="5"/>
        <v>45999</v>
      </c>
      <c r="D92" t="s">
        <v>58</v>
      </c>
      <c r="E92" t="str">
        <v>Jakarta</v>
      </c>
      <c r="F92" t="s">
        <v>30</v>
      </c>
      <c r="G92" t="s">
        <v>31</v>
      </c>
      <c r="H92" t="str">
        <v>Product Photoshoot</v>
      </c>
      <c r="I92" t="s">
        <v>39</v>
      </c>
      <c r="J92" t="str">
        <v>Website</v>
      </c>
      <c r="K92" t="s">
        <v>66</v>
      </c>
      <c r="L92">
        <v>1</v>
      </c>
      <c r="M92">
        <v>1</v>
      </c>
      <c r="N92" t="s">
        <v>41</v>
      </c>
      <c r="O92" s="7">
        <v>160000</v>
      </c>
      <c r="P92" s="7">
        <v>0</v>
      </c>
      <c r="Q92" s="7">
        <v>160000</v>
      </c>
      <c r="R92" s="7">
        <f t="shared" si="6"/>
        <v>160000</v>
      </c>
      <c r="S92" t="s">
        <v>33</v>
      </c>
      <c r="T92" t="str">
        <f t="shared" si="7"/>
        <v>Virtual Account</v>
      </c>
      <c r="U92" t="s">
        <v>26</v>
      </c>
      <c r="V92">
        <v>5</v>
      </c>
      <c r="W92">
        <f t="shared" si="8"/>
        <v>5</v>
      </c>
      <c r="Y92" t="str">
        <f t="shared" si="9"/>
        <v>Not Provided</v>
      </c>
      <c r="Z92" t="s">
        <v>60</v>
      </c>
      <c r="AC92" t="str">
        <f>IF(COUNTIF($A:$A,A92)&gt;1,"Duplicate","Unique")</f>
        <v>Unique</v>
      </c>
    </row>
    <row r="93" spans="1:29" x14ac:dyDescent="0.35">
      <c r="A93" t="s">
        <v>204</v>
      </c>
      <c r="B93" t="s">
        <v>205</v>
      </c>
      <c r="C93" s="9">
        <f t="shared" si="5"/>
        <v>46006</v>
      </c>
      <c r="D93" t="s">
        <v>45</v>
      </c>
      <c r="E93" t="str">
        <v>Malang</v>
      </c>
      <c r="F93" t="s">
        <v>20</v>
      </c>
      <c r="G93" t="s">
        <v>90</v>
      </c>
      <c r="H93" t="str">
        <v>Voice Over</v>
      </c>
      <c r="I93" t="s">
        <v>54</v>
      </c>
      <c r="J93" t="str">
        <v>Referral</v>
      </c>
      <c r="K93" t="s">
        <v>71</v>
      </c>
      <c r="L93">
        <v>1</v>
      </c>
      <c r="M93">
        <v>1</v>
      </c>
      <c r="N93" t="s">
        <v>24</v>
      </c>
      <c r="O93" s="7">
        <v>85000</v>
      </c>
      <c r="P93" s="7">
        <v>8500</v>
      </c>
      <c r="Q93" s="7">
        <v>76500</v>
      </c>
      <c r="R93" s="7">
        <f t="shared" si="6"/>
        <v>76500</v>
      </c>
      <c r="S93" t="s">
        <v>25</v>
      </c>
      <c r="T93" t="str">
        <f t="shared" si="7"/>
        <v>Transfer</v>
      </c>
      <c r="U93" t="s">
        <v>56</v>
      </c>
      <c r="V93">
        <v>5</v>
      </c>
      <c r="W93">
        <f t="shared" si="8"/>
        <v>5</v>
      </c>
      <c r="Y93" t="str">
        <f t="shared" si="9"/>
        <v/>
      </c>
      <c r="Z93" t="s">
        <v>43</v>
      </c>
      <c r="AC93" t="str">
        <f>IF(COUNTIF($A:$A,A93)&gt;1,"Duplicate","Unique")</f>
        <v>Unique</v>
      </c>
    </row>
    <row r="94" spans="1:29" x14ac:dyDescent="0.35">
      <c r="A94" t="s">
        <v>206</v>
      </c>
      <c r="B94" t="s">
        <v>207</v>
      </c>
      <c r="C94" s="9">
        <f t="shared" si="5"/>
        <v>45725</v>
      </c>
      <c r="D94" t="s">
        <v>162</v>
      </c>
      <c r="E94" t="str">
        <v>Malang</v>
      </c>
      <c r="F94" t="s">
        <v>30</v>
      </c>
      <c r="G94" t="s">
        <v>99</v>
      </c>
      <c r="H94" t="str">
        <v>Live Streaming</v>
      </c>
      <c r="I94" t="s">
        <v>112</v>
      </c>
      <c r="J94" t="str">
        <v>Marketplace</v>
      </c>
      <c r="K94" t="s">
        <v>47</v>
      </c>
      <c r="L94">
        <v>1</v>
      </c>
      <c r="M94">
        <v>1</v>
      </c>
      <c r="N94" t="s">
        <v>32</v>
      </c>
      <c r="O94" s="7">
        <v>175000</v>
      </c>
      <c r="P94" s="7">
        <v>0</v>
      </c>
      <c r="Q94" s="7">
        <v>175000</v>
      </c>
      <c r="R94" s="7">
        <f t="shared" si="6"/>
        <v>175000</v>
      </c>
      <c r="S94" t="s">
        <v>33</v>
      </c>
      <c r="T94" t="str">
        <f t="shared" si="7"/>
        <v>Virtual Account</v>
      </c>
      <c r="U94" t="s">
        <v>26</v>
      </c>
      <c r="W94" t="str">
        <f t="shared" si="8"/>
        <v/>
      </c>
      <c r="Y94" t="str">
        <f t="shared" si="9"/>
        <v>Not Provided</v>
      </c>
      <c r="Z94" t="s">
        <v>43</v>
      </c>
      <c r="AA94" t="s">
        <v>94</v>
      </c>
      <c r="AC94" t="str">
        <f>IF(COUNTIF($A:$A,A94)&gt;1,"Duplicate","Unique")</f>
        <v>Unique</v>
      </c>
    </row>
    <row r="95" spans="1:29" x14ac:dyDescent="0.35">
      <c r="A95" t="s">
        <v>208</v>
      </c>
      <c r="B95" s="2">
        <v>45674</v>
      </c>
      <c r="C95" s="9">
        <f t="shared" si="5"/>
        <v>45674</v>
      </c>
      <c r="D95" t="s">
        <v>53</v>
      </c>
      <c r="E95" t="str">
        <v>Surabaya</v>
      </c>
      <c r="F95" t="s">
        <v>30</v>
      </c>
      <c r="G95" t="s">
        <v>103</v>
      </c>
      <c r="H95" t="str">
        <v>Video Podcast</v>
      </c>
      <c r="I95" t="s">
        <v>39</v>
      </c>
      <c r="J95" t="str">
        <v>Website</v>
      </c>
      <c r="K95" t="s">
        <v>66</v>
      </c>
      <c r="L95">
        <v>4</v>
      </c>
      <c r="M95">
        <v>4</v>
      </c>
      <c r="N95" t="s">
        <v>32</v>
      </c>
      <c r="O95" s="7">
        <v>700000</v>
      </c>
      <c r="P95" s="7">
        <v>35000</v>
      </c>
      <c r="Q95" s="7">
        <v>665000</v>
      </c>
      <c r="R95" s="7">
        <f t="shared" si="6"/>
        <v>665000</v>
      </c>
      <c r="S95" t="s">
        <v>78</v>
      </c>
      <c r="T95" t="str">
        <f t="shared" si="7"/>
        <v>Cash</v>
      </c>
      <c r="U95" t="s">
        <v>34</v>
      </c>
      <c r="V95">
        <v>3</v>
      </c>
      <c r="W95">
        <f t="shared" si="8"/>
        <v>3</v>
      </c>
      <c r="Y95" t="str">
        <f t="shared" si="9"/>
        <v/>
      </c>
      <c r="Z95" t="s">
        <v>72</v>
      </c>
      <c r="AA95" t="s">
        <v>94</v>
      </c>
      <c r="AC95" t="str">
        <f>IF(COUNTIF($A:$A,A95)&gt;1,"Duplicate","Unique")</f>
        <v>Unique</v>
      </c>
    </row>
    <row r="96" spans="1:29" x14ac:dyDescent="0.35">
      <c r="A96" t="s">
        <v>209</v>
      </c>
      <c r="B96" s="2">
        <v>45810</v>
      </c>
      <c r="C96" s="9">
        <f t="shared" si="5"/>
        <v>45810</v>
      </c>
      <c r="D96" t="s">
        <v>63</v>
      </c>
      <c r="E96" t="str">
        <v>Yogyakarta</v>
      </c>
      <c r="F96" t="s">
        <v>80</v>
      </c>
      <c r="G96" t="s">
        <v>99</v>
      </c>
      <c r="H96" t="str">
        <v>Live Streaming</v>
      </c>
      <c r="I96" t="s">
        <v>112</v>
      </c>
      <c r="J96" t="str">
        <v>Marketplace</v>
      </c>
      <c r="K96" t="s">
        <v>66</v>
      </c>
      <c r="L96" t="s">
        <v>88</v>
      </c>
      <c r="M96">
        <v>1</v>
      </c>
      <c r="N96" t="s">
        <v>55</v>
      </c>
      <c r="O96" s="7">
        <v>265000</v>
      </c>
      <c r="P96" s="7">
        <v>0</v>
      </c>
      <c r="Q96" s="7">
        <v>265000</v>
      </c>
      <c r="R96" s="7">
        <f t="shared" si="6"/>
        <v>265000</v>
      </c>
      <c r="S96" t="s">
        <v>42</v>
      </c>
      <c r="T96" t="str">
        <f t="shared" si="7"/>
        <v>E-Wallet</v>
      </c>
      <c r="U96" t="s">
        <v>34</v>
      </c>
      <c r="V96">
        <v>4</v>
      </c>
      <c r="W96">
        <f t="shared" si="8"/>
        <v>4</v>
      </c>
      <c r="Y96" t="str">
        <f t="shared" si="9"/>
        <v/>
      </c>
      <c r="Z96" t="s">
        <v>43</v>
      </c>
      <c r="AA96" t="s">
        <v>94</v>
      </c>
      <c r="AC96" t="str">
        <f>IF(COUNTIF($A:$A,A96)&gt;1,"Duplicate","Unique")</f>
        <v>Unique</v>
      </c>
    </row>
    <row r="97" spans="1:29" x14ac:dyDescent="0.35">
      <c r="A97" t="s">
        <v>210</v>
      </c>
      <c r="B97" s="2">
        <v>45964</v>
      </c>
      <c r="C97" s="9">
        <f t="shared" si="5"/>
        <v>45964</v>
      </c>
      <c r="D97" t="s">
        <v>58</v>
      </c>
      <c r="E97" t="str">
        <v>Jakarta</v>
      </c>
      <c r="F97" t="s">
        <v>46</v>
      </c>
      <c r="G97" t="s">
        <v>21</v>
      </c>
      <c r="H97" t="str">
        <v>Content Batch</v>
      </c>
      <c r="I97" t="s">
        <v>84</v>
      </c>
      <c r="J97" t="str">
        <v>Instagram</v>
      </c>
      <c r="K97" t="s">
        <v>66</v>
      </c>
      <c r="L97">
        <v>1</v>
      </c>
      <c r="M97">
        <v>1</v>
      </c>
      <c r="N97" t="s">
        <v>41</v>
      </c>
      <c r="O97" s="7">
        <v>210000</v>
      </c>
      <c r="P97" s="7">
        <v>0</v>
      </c>
      <c r="Q97" s="7">
        <v>210000</v>
      </c>
      <c r="R97" s="7">
        <f t="shared" si="6"/>
        <v>210000</v>
      </c>
      <c r="S97" t="s">
        <v>42</v>
      </c>
      <c r="T97" t="str">
        <f t="shared" si="7"/>
        <v>E-Wallet</v>
      </c>
      <c r="U97" t="s">
        <v>34</v>
      </c>
      <c r="W97" t="str">
        <f t="shared" si="8"/>
        <v/>
      </c>
      <c r="Y97" t="str">
        <f t="shared" si="9"/>
        <v/>
      </c>
      <c r="Z97" t="s">
        <v>48</v>
      </c>
      <c r="AA97" t="s">
        <v>94</v>
      </c>
      <c r="AC97" t="str">
        <f>IF(COUNTIF($A:$A,A97)&gt;1,"Duplicate","Unique")</f>
        <v>Unique</v>
      </c>
    </row>
    <row r="98" spans="1:29" x14ac:dyDescent="0.35">
      <c r="A98" t="s">
        <v>211</v>
      </c>
      <c r="B98" s="2">
        <v>45960</v>
      </c>
      <c r="C98" s="9">
        <f t="shared" si="5"/>
        <v>45960</v>
      </c>
      <c r="D98" t="s">
        <v>37</v>
      </c>
      <c r="E98" t="str">
        <v>Bandung</v>
      </c>
      <c r="F98" t="s">
        <v>30</v>
      </c>
      <c r="G98" t="s">
        <v>90</v>
      </c>
      <c r="H98" t="str">
        <v>Voice Over</v>
      </c>
      <c r="I98" t="s">
        <v>54</v>
      </c>
      <c r="J98" t="str">
        <v>Referral</v>
      </c>
      <c r="K98" t="s">
        <v>47</v>
      </c>
      <c r="L98">
        <v>1</v>
      </c>
      <c r="M98">
        <v>1</v>
      </c>
      <c r="N98" t="s">
        <v>32</v>
      </c>
      <c r="O98" s="7">
        <v>175000</v>
      </c>
      <c r="P98" s="7">
        <v>8750</v>
      </c>
      <c r="Q98" s="7">
        <v>166250</v>
      </c>
      <c r="R98" s="7">
        <f t="shared" si="6"/>
        <v>166250</v>
      </c>
      <c r="S98" t="s">
        <v>78</v>
      </c>
      <c r="T98" t="str">
        <f t="shared" si="7"/>
        <v>Cash</v>
      </c>
      <c r="U98" t="s">
        <v>56</v>
      </c>
      <c r="V98">
        <v>4</v>
      </c>
      <c r="W98">
        <f t="shared" si="8"/>
        <v>4</v>
      </c>
      <c r="Y98" t="str">
        <f t="shared" si="9"/>
        <v/>
      </c>
      <c r="Z98" t="s">
        <v>48</v>
      </c>
      <c r="AC98" t="str">
        <f>IF(COUNTIF($A:$A,A98)&gt;1,"Duplicate","Unique")</f>
        <v>Unique</v>
      </c>
    </row>
    <row r="99" spans="1:29" x14ac:dyDescent="0.35">
      <c r="A99" t="s">
        <v>212</v>
      </c>
      <c r="B99" t="s">
        <v>213</v>
      </c>
      <c r="C99" s="9">
        <f t="shared" si="5"/>
        <v>45929</v>
      </c>
      <c r="D99" t="s">
        <v>77</v>
      </c>
      <c r="E99" t="str">
        <v>Bandung</v>
      </c>
      <c r="F99" t="s">
        <v>30</v>
      </c>
      <c r="G99" t="s">
        <v>103</v>
      </c>
      <c r="H99" t="str">
        <v>Video Podcast</v>
      </c>
      <c r="I99" t="s">
        <v>92</v>
      </c>
      <c r="J99" t="str">
        <v>Whatsapp</v>
      </c>
      <c r="K99" t="s">
        <v>23</v>
      </c>
      <c r="L99">
        <v>4</v>
      </c>
      <c r="M99">
        <v>4</v>
      </c>
      <c r="N99" t="s">
        <v>41</v>
      </c>
      <c r="O99" s="7">
        <v>640000</v>
      </c>
      <c r="P99" s="7">
        <v>0</v>
      </c>
      <c r="Q99" s="7">
        <v>640000</v>
      </c>
      <c r="R99" s="7">
        <f t="shared" si="6"/>
        <v>640000</v>
      </c>
      <c r="S99" t="s">
        <v>25</v>
      </c>
      <c r="T99" t="str">
        <f t="shared" si="7"/>
        <v>Transfer</v>
      </c>
      <c r="U99" t="s">
        <v>34</v>
      </c>
      <c r="V99">
        <v>5</v>
      </c>
      <c r="W99">
        <f t="shared" si="8"/>
        <v>5</v>
      </c>
      <c r="Y99" t="str">
        <f t="shared" si="9"/>
        <v/>
      </c>
      <c r="Z99" t="s">
        <v>48</v>
      </c>
      <c r="AA99" t="s">
        <v>94</v>
      </c>
      <c r="AC99" t="str">
        <f>IF(COUNTIF($A:$A,A99)&gt;1,"Duplicate","Unique")</f>
        <v>Unique</v>
      </c>
    </row>
    <row r="100" spans="1:29" x14ac:dyDescent="0.35">
      <c r="A100" t="s">
        <v>214</v>
      </c>
      <c r="B100" s="2">
        <v>45769</v>
      </c>
      <c r="C100" s="9">
        <f t="shared" si="5"/>
        <v>45769</v>
      </c>
      <c r="D100" t="s">
        <v>69</v>
      </c>
      <c r="E100" t="str">
        <v>Yogyakarta</v>
      </c>
      <c r="F100" t="s">
        <v>46</v>
      </c>
      <c r="G100" t="s">
        <v>31</v>
      </c>
      <c r="H100" t="str">
        <v>Product Photoshoot</v>
      </c>
      <c r="I100" t="s">
        <v>22</v>
      </c>
      <c r="J100" t="str">
        <v>Whatsapp</v>
      </c>
      <c r="K100" t="s">
        <v>47</v>
      </c>
      <c r="L100">
        <v>1</v>
      </c>
      <c r="M100">
        <v>1</v>
      </c>
      <c r="N100" t="s">
        <v>32</v>
      </c>
      <c r="O100" s="7">
        <v>225000</v>
      </c>
      <c r="P100" s="7">
        <v>0</v>
      </c>
      <c r="Q100" s="7">
        <v>225000</v>
      </c>
      <c r="R100" s="7">
        <f t="shared" si="6"/>
        <v>225000</v>
      </c>
      <c r="S100" t="s">
        <v>42</v>
      </c>
      <c r="T100" t="str">
        <f t="shared" si="7"/>
        <v>E-Wallet</v>
      </c>
      <c r="U100" t="s">
        <v>26</v>
      </c>
      <c r="V100">
        <v>5</v>
      </c>
      <c r="W100">
        <f t="shared" si="8"/>
        <v>5</v>
      </c>
      <c r="X100" t="s">
        <v>85</v>
      </c>
      <c r="Y100" t="str">
        <f t="shared" si="9"/>
        <v>Budget issue</v>
      </c>
      <c r="Z100" t="s">
        <v>72</v>
      </c>
      <c r="AA100" t="s">
        <v>94</v>
      </c>
      <c r="AC100" t="str">
        <f>IF(COUNTIF($A:$A,A100)&gt;1,"Duplicate","Unique")</f>
        <v>Unique</v>
      </c>
    </row>
    <row r="101" spans="1:29" x14ac:dyDescent="0.35">
      <c r="A101" t="s">
        <v>215</v>
      </c>
      <c r="B101" s="2">
        <v>45898</v>
      </c>
      <c r="C101" s="9">
        <f t="shared" si="5"/>
        <v>45898</v>
      </c>
      <c r="D101" t="s">
        <v>53</v>
      </c>
      <c r="E101" t="str">
        <v>Surabaya</v>
      </c>
      <c r="F101" t="s">
        <v>46</v>
      </c>
      <c r="G101" t="s">
        <v>31</v>
      </c>
      <c r="H101" t="str">
        <v>Product Photoshoot</v>
      </c>
      <c r="I101" t="s">
        <v>22</v>
      </c>
      <c r="J101" t="str">
        <v>Whatsapp</v>
      </c>
      <c r="K101" t="s">
        <v>66</v>
      </c>
      <c r="L101">
        <v>3</v>
      </c>
      <c r="M101">
        <v>3</v>
      </c>
      <c r="N101" t="s">
        <v>55</v>
      </c>
      <c r="O101" s="7">
        <v>750000</v>
      </c>
      <c r="P101" s="7">
        <v>0</v>
      </c>
      <c r="Q101" s="7">
        <v>750000</v>
      </c>
      <c r="R101" s="7">
        <f t="shared" si="6"/>
        <v>750000</v>
      </c>
      <c r="T101" t="str">
        <f t="shared" si="7"/>
        <v/>
      </c>
      <c r="U101" t="s">
        <v>34</v>
      </c>
      <c r="V101">
        <v>4</v>
      </c>
      <c r="W101">
        <f t="shared" si="8"/>
        <v>4</v>
      </c>
      <c r="Y101" t="str">
        <f t="shared" si="9"/>
        <v/>
      </c>
      <c r="Z101" t="s">
        <v>27</v>
      </c>
      <c r="AA101" t="s">
        <v>49</v>
      </c>
      <c r="AC101" t="str">
        <f>IF(COUNTIF($A:$A,A101)&gt;1,"Duplicate","Unique")</f>
        <v>Unique</v>
      </c>
    </row>
    <row r="102" spans="1:29" x14ac:dyDescent="0.35">
      <c r="A102" t="s">
        <v>216</v>
      </c>
      <c r="B102" s="2">
        <v>45908</v>
      </c>
      <c r="C102" s="9">
        <f t="shared" si="5"/>
        <v>45908</v>
      </c>
      <c r="D102" t="s">
        <v>69</v>
      </c>
      <c r="E102" t="str">
        <v>Yogyakarta</v>
      </c>
      <c r="F102" t="s">
        <v>30</v>
      </c>
      <c r="G102" t="s">
        <v>103</v>
      </c>
      <c r="H102" t="str">
        <v>Video Podcast</v>
      </c>
      <c r="I102" t="s">
        <v>22</v>
      </c>
      <c r="J102" t="str">
        <v>Whatsapp</v>
      </c>
      <c r="K102" t="s">
        <v>23</v>
      </c>
      <c r="L102" t="s">
        <v>104</v>
      </c>
      <c r="M102">
        <v>2</v>
      </c>
      <c r="N102" t="s">
        <v>24</v>
      </c>
      <c r="O102" s="7">
        <v>250000</v>
      </c>
      <c r="P102" s="7">
        <v>25000</v>
      </c>
      <c r="Q102" s="7">
        <v>225000</v>
      </c>
      <c r="R102" s="7">
        <f t="shared" si="6"/>
        <v>225000</v>
      </c>
      <c r="S102" t="s">
        <v>78</v>
      </c>
      <c r="T102" t="str">
        <f t="shared" si="7"/>
        <v>Cash</v>
      </c>
      <c r="U102" t="s">
        <v>34</v>
      </c>
      <c r="V102">
        <v>3</v>
      </c>
      <c r="W102">
        <f t="shared" si="8"/>
        <v>3</v>
      </c>
      <c r="Y102" t="str">
        <f t="shared" si="9"/>
        <v/>
      </c>
      <c r="Z102" t="s">
        <v>27</v>
      </c>
      <c r="AA102" t="s">
        <v>35</v>
      </c>
      <c r="AC102" t="str">
        <f>IF(COUNTIF($A:$A,A102)&gt;1,"Duplicate","Unique")</f>
        <v>Unique</v>
      </c>
    </row>
    <row r="103" spans="1:29" x14ac:dyDescent="0.35">
      <c r="A103" t="s">
        <v>217</v>
      </c>
      <c r="B103" s="2">
        <v>45688</v>
      </c>
      <c r="C103" s="9">
        <f t="shared" si="5"/>
        <v>45688</v>
      </c>
      <c r="D103" t="s">
        <v>218</v>
      </c>
      <c r="E103" t="str">
        <v>Malang</v>
      </c>
      <c r="F103" t="s">
        <v>80</v>
      </c>
      <c r="G103" t="s">
        <v>99</v>
      </c>
      <c r="H103" t="str">
        <v>Live Streaming</v>
      </c>
      <c r="I103" t="s">
        <v>54</v>
      </c>
      <c r="J103" t="str">
        <v>Referral</v>
      </c>
      <c r="K103" t="s">
        <v>47</v>
      </c>
      <c r="L103" t="s">
        <v>104</v>
      </c>
      <c r="M103">
        <v>2</v>
      </c>
      <c r="N103" t="s">
        <v>24</v>
      </c>
      <c r="O103" s="7">
        <v>380000</v>
      </c>
      <c r="P103" s="7">
        <v>0</v>
      </c>
      <c r="Q103" s="7">
        <v>380000</v>
      </c>
      <c r="R103" s="7">
        <f t="shared" si="6"/>
        <v>380000</v>
      </c>
      <c r="T103" t="str">
        <f t="shared" si="7"/>
        <v/>
      </c>
      <c r="U103" t="s">
        <v>56</v>
      </c>
      <c r="V103">
        <v>5</v>
      </c>
      <c r="W103">
        <f t="shared" si="8"/>
        <v>5</v>
      </c>
      <c r="Y103" t="str">
        <f t="shared" si="9"/>
        <v/>
      </c>
      <c r="Z103" t="s">
        <v>60</v>
      </c>
      <c r="AA103" t="s">
        <v>94</v>
      </c>
      <c r="AC103" t="str">
        <f>IF(COUNTIF($A:$A,A103)&gt;1,"Duplicate","Unique")</f>
        <v>Unique</v>
      </c>
    </row>
    <row r="104" spans="1:29" x14ac:dyDescent="0.35">
      <c r="A104" t="s">
        <v>219</v>
      </c>
      <c r="B104" s="2">
        <v>45975</v>
      </c>
      <c r="C104" s="9">
        <f t="shared" si="5"/>
        <v>45975</v>
      </c>
      <c r="D104" t="s">
        <v>45</v>
      </c>
      <c r="E104" t="str">
        <v>Malang</v>
      </c>
      <c r="F104" t="s">
        <v>59</v>
      </c>
      <c r="G104" t="s">
        <v>31</v>
      </c>
      <c r="H104" t="str">
        <v>Product Photoshoot</v>
      </c>
      <c r="I104" t="s">
        <v>92</v>
      </c>
      <c r="J104" t="str">
        <v>Whatsapp</v>
      </c>
      <c r="K104" t="s">
        <v>66</v>
      </c>
      <c r="L104" t="s">
        <v>104</v>
      </c>
      <c r="M104">
        <v>2</v>
      </c>
      <c r="N104" t="s">
        <v>55</v>
      </c>
      <c r="O104" s="7">
        <v>430000</v>
      </c>
      <c r="P104" s="7">
        <v>64500</v>
      </c>
      <c r="Q104" s="7">
        <v>365500</v>
      </c>
      <c r="R104" s="7">
        <f t="shared" si="6"/>
        <v>365500</v>
      </c>
      <c r="S104" t="s">
        <v>78</v>
      </c>
      <c r="T104" t="str">
        <f t="shared" si="7"/>
        <v>Cash</v>
      </c>
      <c r="U104" t="s">
        <v>34</v>
      </c>
      <c r="V104">
        <v>4</v>
      </c>
      <c r="W104">
        <f t="shared" si="8"/>
        <v>4</v>
      </c>
      <c r="Y104" t="str">
        <f t="shared" si="9"/>
        <v/>
      </c>
      <c r="Z104" t="s">
        <v>60</v>
      </c>
      <c r="AC104" t="str">
        <f>IF(COUNTIF($A:$A,A104)&gt;1,"Duplicate","Unique")</f>
        <v>Unique</v>
      </c>
    </row>
    <row r="105" spans="1:29" x14ac:dyDescent="0.35">
      <c r="A105" t="s">
        <v>220</v>
      </c>
      <c r="B105" s="2">
        <v>45700</v>
      </c>
      <c r="C105" s="9">
        <f t="shared" si="5"/>
        <v>45700</v>
      </c>
      <c r="D105" t="s">
        <v>221</v>
      </c>
      <c r="E105" t="str">
        <v>Yogyakarta</v>
      </c>
      <c r="F105" t="s">
        <v>30</v>
      </c>
      <c r="G105" t="s">
        <v>222</v>
      </c>
      <c r="H105" t="str">
        <v>Content Batch</v>
      </c>
      <c r="I105" t="s">
        <v>22</v>
      </c>
      <c r="J105" t="str">
        <v>Whatsapp</v>
      </c>
      <c r="K105" t="s">
        <v>71</v>
      </c>
      <c r="L105" t="s">
        <v>88</v>
      </c>
      <c r="M105">
        <v>1</v>
      </c>
      <c r="N105" t="s">
        <v>55</v>
      </c>
      <c r="O105" s="7">
        <v>200000</v>
      </c>
      <c r="P105" s="7">
        <v>0</v>
      </c>
      <c r="Q105" s="7">
        <v>200000</v>
      </c>
      <c r="R105" s="7">
        <f t="shared" si="6"/>
        <v>200000</v>
      </c>
      <c r="S105" t="s">
        <v>25</v>
      </c>
      <c r="T105" t="str">
        <f t="shared" si="7"/>
        <v>Transfer</v>
      </c>
      <c r="U105" t="s">
        <v>56</v>
      </c>
      <c r="W105" t="str">
        <f t="shared" si="8"/>
        <v/>
      </c>
      <c r="Y105" t="str">
        <f t="shared" si="9"/>
        <v/>
      </c>
      <c r="Z105" t="s">
        <v>27</v>
      </c>
      <c r="AA105" t="s">
        <v>94</v>
      </c>
      <c r="AC105" t="str">
        <f>IF(COUNTIF($A:$A,A105)&gt;1,"Duplicate","Unique")</f>
        <v>Unique</v>
      </c>
    </row>
    <row r="106" spans="1:29" x14ac:dyDescent="0.35">
      <c r="A106" t="s">
        <v>223</v>
      </c>
      <c r="B106" t="s">
        <v>224</v>
      </c>
      <c r="C106" s="9">
        <f t="shared" si="5"/>
        <v>45666</v>
      </c>
      <c r="D106" t="s">
        <v>37</v>
      </c>
      <c r="E106" t="str">
        <v>Bandung</v>
      </c>
      <c r="F106" t="s">
        <v>80</v>
      </c>
      <c r="G106" t="s">
        <v>103</v>
      </c>
      <c r="H106" t="str">
        <v>Video Podcast</v>
      </c>
      <c r="I106" t="s">
        <v>54</v>
      </c>
      <c r="J106" t="str">
        <v>Referral</v>
      </c>
      <c r="K106" t="s">
        <v>47</v>
      </c>
      <c r="L106">
        <v>4</v>
      </c>
      <c r="M106">
        <v>4</v>
      </c>
      <c r="N106" t="s">
        <v>32</v>
      </c>
      <c r="O106" s="7">
        <v>960000</v>
      </c>
      <c r="P106" s="7">
        <v>144000</v>
      </c>
      <c r="Q106" s="7">
        <v>816000</v>
      </c>
      <c r="R106" s="7">
        <f t="shared" si="6"/>
        <v>816000</v>
      </c>
      <c r="S106" t="s">
        <v>42</v>
      </c>
      <c r="T106" t="str">
        <f t="shared" si="7"/>
        <v>E-Wallet</v>
      </c>
      <c r="U106" t="s">
        <v>56</v>
      </c>
      <c r="V106">
        <v>5</v>
      </c>
      <c r="W106">
        <f t="shared" si="8"/>
        <v>5</v>
      </c>
      <c r="Y106" t="str">
        <f t="shared" si="9"/>
        <v/>
      </c>
      <c r="Z106" t="s">
        <v>48</v>
      </c>
      <c r="AC106" t="str">
        <f>IF(COUNTIF($A:$A,A106)&gt;1,"Duplicate","Unique")</f>
        <v>Unique</v>
      </c>
    </row>
    <row r="107" spans="1:29" x14ac:dyDescent="0.35">
      <c r="A107" t="s">
        <v>225</v>
      </c>
      <c r="B107" t="s">
        <v>226</v>
      </c>
      <c r="C107" s="9">
        <f t="shared" si="5"/>
        <v>45972</v>
      </c>
      <c r="D107" t="s">
        <v>45</v>
      </c>
      <c r="E107" t="str">
        <v>Malang</v>
      </c>
      <c r="F107" t="s">
        <v>30</v>
      </c>
      <c r="G107" t="s">
        <v>31</v>
      </c>
      <c r="H107" t="str">
        <v>Product Photoshoot</v>
      </c>
      <c r="I107" t="s">
        <v>84</v>
      </c>
      <c r="J107" t="str">
        <v>Instagram</v>
      </c>
      <c r="K107" t="s">
        <v>40</v>
      </c>
      <c r="L107">
        <v>1</v>
      </c>
      <c r="M107">
        <v>1</v>
      </c>
      <c r="N107" t="s">
        <v>41</v>
      </c>
      <c r="O107" s="7">
        <v>160000</v>
      </c>
      <c r="P107" s="7">
        <v>16000</v>
      </c>
      <c r="Q107" s="7">
        <v>144000</v>
      </c>
      <c r="R107" s="7">
        <f t="shared" si="6"/>
        <v>144000</v>
      </c>
      <c r="S107" t="s">
        <v>78</v>
      </c>
      <c r="T107" t="str">
        <f t="shared" si="7"/>
        <v>Cash</v>
      </c>
      <c r="U107" t="s">
        <v>34</v>
      </c>
      <c r="V107">
        <v>4</v>
      </c>
      <c r="W107">
        <f t="shared" si="8"/>
        <v>4</v>
      </c>
      <c r="Y107" t="str">
        <f t="shared" si="9"/>
        <v/>
      </c>
      <c r="Z107" t="s">
        <v>60</v>
      </c>
      <c r="AA107" t="s">
        <v>96</v>
      </c>
      <c r="AC107" t="str">
        <f>IF(COUNTIF($A:$A,A107)&gt;1,"Duplicate","Unique")</f>
        <v>Unique</v>
      </c>
    </row>
    <row r="108" spans="1:29" x14ac:dyDescent="0.35">
      <c r="A108" t="s">
        <v>227</v>
      </c>
      <c r="B108" t="s">
        <v>228</v>
      </c>
      <c r="C108" s="9">
        <f t="shared" si="5"/>
        <v>45857</v>
      </c>
      <c r="D108" t="s">
        <v>53</v>
      </c>
      <c r="E108" t="str">
        <v>Surabaya</v>
      </c>
      <c r="F108" t="s">
        <v>59</v>
      </c>
      <c r="G108" t="s">
        <v>229</v>
      </c>
      <c r="H108" t="str">
        <v>Podcast Recording</v>
      </c>
      <c r="I108" t="s">
        <v>84</v>
      </c>
      <c r="J108" t="str">
        <v>Instagram</v>
      </c>
      <c r="K108" t="s">
        <v>47</v>
      </c>
      <c r="L108">
        <v>4</v>
      </c>
      <c r="M108">
        <v>4</v>
      </c>
      <c r="N108" t="s">
        <v>41</v>
      </c>
      <c r="O108" s="7">
        <v>700000</v>
      </c>
      <c r="P108" s="7">
        <v>0</v>
      </c>
      <c r="Q108" s="7">
        <v>700000</v>
      </c>
      <c r="R108" s="7">
        <f t="shared" si="6"/>
        <v>700000</v>
      </c>
      <c r="S108" t="s">
        <v>78</v>
      </c>
      <c r="T108" t="str">
        <f t="shared" si="7"/>
        <v>Cash</v>
      </c>
      <c r="U108" t="s">
        <v>34</v>
      </c>
      <c r="V108">
        <v>4</v>
      </c>
      <c r="W108">
        <f t="shared" si="8"/>
        <v>4</v>
      </c>
      <c r="Y108" t="str">
        <f t="shared" si="9"/>
        <v/>
      </c>
      <c r="Z108" t="s">
        <v>43</v>
      </c>
      <c r="AC108" t="str">
        <f>IF(COUNTIF($A:$A,A108)&gt;1,"Duplicate","Unique")</f>
        <v>Unique</v>
      </c>
    </row>
    <row r="109" spans="1:29" x14ac:dyDescent="0.35">
      <c r="A109" t="s">
        <v>230</v>
      </c>
      <c r="B109" s="2">
        <v>45664</v>
      </c>
      <c r="C109" s="9">
        <f t="shared" si="5"/>
        <v>45664</v>
      </c>
      <c r="D109" t="s">
        <v>53</v>
      </c>
      <c r="E109" t="str">
        <v>Surabaya</v>
      </c>
      <c r="F109" t="s">
        <v>30</v>
      </c>
      <c r="G109" t="s">
        <v>153</v>
      </c>
      <c r="H109" t="str">
        <v>Live Streaming</v>
      </c>
      <c r="I109" t="s">
        <v>84</v>
      </c>
      <c r="J109" t="str">
        <v>Instagram</v>
      </c>
      <c r="K109" t="s">
        <v>71</v>
      </c>
      <c r="L109" t="s">
        <v>104</v>
      </c>
      <c r="M109">
        <v>2</v>
      </c>
      <c r="N109" t="s">
        <v>55</v>
      </c>
      <c r="O109" s="7">
        <v>400000</v>
      </c>
      <c r="P109" s="7">
        <v>60000</v>
      </c>
      <c r="Q109" s="7">
        <v>340000</v>
      </c>
      <c r="R109" s="7">
        <f t="shared" si="6"/>
        <v>340000</v>
      </c>
      <c r="S109" t="s">
        <v>42</v>
      </c>
      <c r="T109" t="str">
        <f t="shared" si="7"/>
        <v>E-Wallet</v>
      </c>
      <c r="U109" t="s">
        <v>56</v>
      </c>
      <c r="V109">
        <v>4</v>
      </c>
      <c r="W109">
        <f t="shared" si="8"/>
        <v>4</v>
      </c>
      <c r="Y109" t="str">
        <f t="shared" si="9"/>
        <v/>
      </c>
      <c r="Z109" t="s">
        <v>60</v>
      </c>
      <c r="AC109" t="str">
        <f>IF(COUNTIF($A:$A,A109)&gt;1,"Duplicate","Unique")</f>
        <v>Unique</v>
      </c>
    </row>
    <row r="110" spans="1:29" x14ac:dyDescent="0.35">
      <c r="A110" t="s">
        <v>231</v>
      </c>
      <c r="B110" s="2">
        <v>45978</v>
      </c>
      <c r="C110" s="9">
        <f t="shared" si="5"/>
        <v>45978</v>
      </c>
      <c r="D110" t="s">
        <v>69</v>
      </c>
      <c r="E110" t="str">
        <v>Yogyakarta</v>
      </c>
      <c r="F110" t="s">
        <v>80</v>
      </c>
      <c r="G110" t="s">
        <v>90</v>
      </c>
      <c r="H110" t="str">
        <v>Voice Over</v>
      </c>
      <c r="I110" t="s">
        <v>39</v>
      </c>
      <c r="J110" t="str">
        <v>Website</v>
      </c>
      <c r="K110" t="s">
        <v>66</v>
      </c>
      <c r="L110">
        <v>2</v>
      </c>
      <c r="M110">
        <v>2</v>
      </c>
      <c r="N110" t="s">
        <v>41</v>
      </c>
      <c r="O110" s="7">
        <v>450000</v>
      </c>
      <c r="P110" s="7">
        <v>45000</v>
      </c>
      <c r="Q110" s="7">
        <v>405000</v>
      </c>
      <c r="R110" s="7">
        <f t="shared" si="6"/>
        <v>405000</v>
      </c>
      <c r="S110" t="s">
        <v>33</v>
      </c>
      <c r="T110" t="str">
        <f t="shared" si="7"/>
        <v>Virtual Account</v>
      </c>
      <c r="U110" t="s">
        <v>34</v>
      </c>
      <c r="V110">
        <v>4</v>
      </c>
      <c r="W110">
        <f t="shared" si="8"/>
        <v>4</v>
      </c>
      <c r="Y110" t="str">
        <f t="shared" si="9"/>
        <v/>
      </c>
      <c r="Z110" t="s">
        <v>60</v>
      </c>
      <c r="AA110" t="s">
        <v>35</v>
      </c>
      <c r="AC110" t="str">
        <f>IF(COUNTIF($A:$A,A110)&gt;1,"Duplicate","Unique")</f>
        <v>Unique</v>
      </c>
    </row>
    <row r="111" spans="1:29" x14ac:dyDescent="0.35">
      <c r="A111" t="s">
        <v>232</v>
      </c>
      <c r="B111" s="2">
        <v>45861</v>
      </c>
      <c r="C111" s="9">
        <f t="shared" si="5"/>
        <v>45861</v>
      </c>
      <c r="D111" t="s">
        <v>53</v>
      </c>
      <c r="E111" t="str">
        <v>Surabaya</v>
      </c>
      <c r="F111" t="s">
        <v>59</v>
      </c>
      <c r="G111" t="s">
        <v>119</v>
      </c>
      <c r="H111" t="str">
        <v>Content Batch</v>
      </c>
      <c r="I111" t="s">
        <v>54</v>
      </c>
      <c r="J111" t="str">
        <v>Referral</v>
      </c>
      <c r="K111" t="s">
        <v>71</v>
      </c>
      <c r="L111">
        <v>1</v>
      </c>
      <c r="M111">
        <v>1</v>
      </c>
      <c r="N111" t="s">
        <v>32</v>
      </c>
      <c r="O111" s="7">
        <v>190000</v>
      </c>
      <c r="P111" s="7">
        <v>0</v>
      </c>
      <c r="Q111" s="7">
        <v>190000</v>
      </c>
      <c r="R111" s="7">
        <f t="shared" si="6"/>
        <v>190000</v>
      </c>
      <c r="S111" t="s">
        <v>33</v>
      </c>
      <c r="T111" t="str">
        <f t="shared" si="7"/>
        <v>Virtual Account</v>
      </c>
      <c r="U111" t="s">
        <v>34</v>
      </c>
      <c r="V111">
        <v>3</v>
      </c>
      <c r="W111">
        <f t="shared" si="8"/>
        <v>3</v>
      </c>
      <c r="Y111" t="str">
        <f t="shared" si="9"/>
        <v/>
      </c>
      <c r="Z111" t="s">
        <v>72</v>
      </c>
      <c r="AA111" t="s">
        <v>49</v>
      </c>
      <c r="AC111" t="str">
        <f>IF(COUNTIF($A:$A,A111)&gt;1,"Duplicate","Unique")</f>
        <v>Unique</v>
      </c>
    </row>
    <row r="112" spans="1:29" x14ac:dyDescent="0.35">
      <c r="A112" t="s">
        <v>233</v>
      </c>
      <c r="B112" s="2">
        <v>45867</v>
      </c>
      <c r="C112" s="9">
        <f t="shared" si="5"/>
        <v>45867</v>
      </c>
      <c r="D112" t="s">
        <v>69</v>
      </c>
      <c r="E112" t="str">
        <v>Yogyakarta</v>
      </c>
      <c r="F112" t="s">
        <v>46</v>
      </c>
      <c r="G112" t="s">
        <v>21</v>
      </c>
      <c r="H112" t="str">
        <v>Content Batch</v>
      </c>
      <c r="I112" t="s">
        <v>92</v>
      </c>
      <c r="J112" t="str">
        <v>Whatsapp</v>
      </c>
      <c r="K112" t="s">
        <v>23</v>
      </c>
      <c r="L112">
        <v>2</v>
      </c>
      <c r="M112">
        <v>2</v>
      </c>
      <c r="N112" t="s">
        <v>32</v>
      </c>
      <c r="O112" s="7">
        <v>450000</v>
      </c>
      <c r="P112" s="7">
        <v>0</v>
      </c>
      <c r="Q112" s="7">
        <v>450000</v>
      </c>
      <c r="R112" s="7">
        <f t="shared" si="6"/>
        <v>450000</v>
      </c>
      <c r="S112" t="s">
        <v>42</v>
      </c>
      <c r="T112" t="str">
        <f t="shared" si="7"/>
        <v>E-Wallet</v>
      </c>
      <c r="U112" t="s">
        <v>26</v>
      </c>
      <c r="V112">
        <v>4</v>
      </c>
      <c r="W112">
        <f t="shared" si="8"/>
        <v>4</v>
      </c>
      <c r="X112" t="s">
        <v>85</v>
      </c>
      <c r="Y112" t="str">
        <f t="shared" si="9"/>
        <v>Budget issue</v>
      </c>
      <c r="Z112" t="s">
        <v>72</v>
      </c>
      <c r="AA112" t="s">
        <v>96</v>
      </c>
      <c r="AC112" t="str">
        <f>IF(COUNTIF($A:$A,A112)&gt;1,"Duplicate","Unique")</f>
        <v>Unique</v>
      </c>
    </row>
    <row r="113" spans="1:29" x14ac:dyDescent="0.35">
      <c r="A113" t="s">
        <v>234</v>
      </c>
      <c r="B113" s="2">
        <v>45713</v>
      </c>
      <c r="C113" s="9">
        <f t="shared" si="5"/>
        <v>45713</v>
      </c>
      <c r="D113" t="s">
        <v>37</v>
      </c>
      <c r="E113" t="str">
        <v>Bandung</v>
      </c>
      <c r="F113" t="s">
        <v>59</v>
      </c>
      <c r="G113" t="s">
        <v>103</v>
      </c>
      <c r="H113" t="str">
        <v>Video Podcast</v>
      </c>
      <c r="I113" t="s">
        <v>112</v>
      </c>
      <c r="J113" t="str">
        <v>Marketplace</v>
      </c>
      <c r="K113" t="s">
        <v>47</v>
      </c>
      <c r="L113">
        <v>4</v>
      </c>
      <c r="M113">
        <v>4</v>
      </c>
      <c r="N113" t="s">
        <v>32</v>
      </c>
      <c r="O113" s="7">
        <v>760000</v>
      </c>
      <c r="P113" s="7">
        <v>0</v>
      </c>
      <c r="Q113" s="7">
        <v>760000</v>
      </c>
      <c r="R113" s="7">
        <f t="shared" si="6"/>
        <v>760000</v>
      </c>
      <c r="S113" t="s">
        <v>78</v>
      </c>
      <c r="T113" t="str">
        <f t="shared" si="7"/>
        <v>Cash</v>
      </c>
      <c r="U113" t="s">
        <v>34</v>
      </c>
      <c r="V113">
        <v>3</v>
      </c>
      <c r="W113">
        <f t="shared" si="8"/>
        <v>3</v>
      </c>
      <c r="Y113" t="str">
        <f t="shared" si="9"/>
        <v/>
      </c>
      <c r="Z113" t="s">
        <v>27</v>
      </c>
      <c r="AC113" t="str">
        <f>IF(COUNTIF($A:$A,A113)&gt;1,"Duplicate","Unique")</f>
        <v>Unique</v>
      </c>
    </row>
    <row r="114" spans="1:29" x14ac:dyDescent="0.35">
      <c r="A114" t="s">
        <v>235</v>
      </c>
      <c r="B114" t="s">
        <v>236</v>
      </c>
      <c r="C114" s="9">
        <f t="shared" si="5"/>
        <v>45670</v>
      </c>
      <c r="D114" t="s">
        <v>69</v>
      </c>
      <c r="E114" t="str">
        <v>Yogyakarta</v>
      </c>
      <c r="F114" t="s">
        <v>20</v>
      </c>
      <c r="G114" t="s">
        <v>31</v>
      </c>
      <c r="H114" t="str">
        <v>Product Photoshoot</v>
      </c>
      <c r="I114" t="s">
        <v>74</v>
      </c>
      <c r="J114" t="str">
        <v>Referral</v>
      </c>
      <c r="K114" t="s">
        <v>47</v>
      </c>
      <c r="L114">
        <v>1</v>
      </c>
      <c r="M114">
        <v>1</v>
      </c>
      <c r="N114" t="s">
        <v>41</v>
      </c>
      <c r="O114" s="7">
        <v>120000</v>
      </c>
      <c r="P114" s="7">
        <v>6000</v>
      </c>
      <c r="Q114" s="7">
        <v>114000</v>
      </c>
      <c r="R114" s="7">
        <f t="shared" si="6"/>
        <v>114000</v>
      </c>
      <c r="S114" t="s">
        <v>42</v>
      </c>
      <c r="T114" t="str">
        <f t="shared" si="7"/>
        <v>E-Wallet</v>
      </c>
      <c r="U114" t="s">
        <v>34</v>
      </c>
      <c r="W114" t="str">
        <f t="shared" si="8"/>
        <v/>
      </c>
      <c r="Y114" t="str">
        <f t="shared" si="9"/>
        <v/>
      </c>
      <c r="Z114" t="s">
        <v>27</v>
      </c>
      <c r="AC114" t="str">
        <f>IF(COUNTIF($A:$A,A114)&gt;1,"Duplicate","Unique")</f>
        <v>Unique</v>
      </c>
    </row>
    <row r="115" spans="1:29" x14ac:dyDescent="0.35">
      <c r="A115" t="s">
        <v>237</v>
      </c>
      <c r="B115" s="2">
        <v>45989</v>
      </c>
      <c r="C115" s="9">
        <f t="shared" si="5"/>
        <v>45989</v>
      </c>
      <c r="D115" t="s">
        <v>58</v>
      </c>
      <c r="E115" t="str">
        <v>Jakarta</v>
      </c>
      <c r="F115" t="s">
        <v>46</v>
      </c>
      <c r="G115" t="s">
        <v>119</v>
      </c>
      <c r="H115" t="str">
        <v>Content Batch</v>
      </c>
      <c r="I115" t="s">
        <v>39</v>
      </c>
      <c r="J115" t="str">
        <v>Website</v>
      </c>
      <c r="K115" t="s">
        <v>71</v>
      </c>
      <c r="L115">
        <v>2</v>
      </c>
      <c r="M115">
        <v>2</v>
      </c>
      <c r="N115" t="s">
        <v>32</v>
      </c>
      <c r="O115" s="7">
        <v>450000</v>
      </c>
      <c r="P115" s="7">
        <v>22500</v>
      </c>
      <c r="Q115" s="7">
        <v>427500</v>
      </c>
      <c r="R115" s="7">
        <f t="shared" si="6"/>
        <v>427500</v>
      </c>
      <c r="S115" t="s">
        <v>42</v>
      </c>
      <c r="T115" t="str">
        <f t="shared" si="7"/>
        <v>E-Wallet</v>
      </c>
      <c r="U115" t="s">
        <v>34</v>
      </c>
      <c r="V115">
        <v>4</v>
      </c>
      <c r="W115">
        <f t="shared" si="8"/>
        <v>4</v>
      </c>
      <c r="Y115" t="str">
        <f t="shared" si="9"/>
        <v/>
      </c>
      <c r="Z115" t="s">
        <v>60</v>
      </c>
      <c r="AA115" t="s">
        <v>35</v>
      </c>
      <c r="AC115" t="str">
        <f>IF(COUNTIF($A:$A,A115)&gt;1,"Duplicate","Unique")</f>
        <v>Unique</v>
      </c>
    </row>
    <row r="116" spans="1:29" x14ac:dyDescent="0.35">
      <c r="A116" t="s">
        <v>238</v>
      </c>
      <c r="B116" s="2">
        <v>45800</v>
      </c>
      <c r="C116" s="9">
        <f t="shared" si="5"/>
        <v>45800</v>
      </c>
      <c r="D116" t="s">
        <v>58</v>
      </c>
      <c r="E116" t="str">
        <v>Jakarta</v>
      </c>
      <c r="F116" t="s">
        <v>80</v>
      </c>
      <c r="G116" t="s">
        <v>38</v>
      </c>
      <c r="H116" t="str">
        <v>Podcast Recording</v>
      </c>
      <c r="I116" t="s">
        <v>112</v>
      </c>
      <c r="J116" t="str">
        <v>Marketplace</v>
      </c>
      <c r="K116" t="s">
        <v>23</v>
      </c>
      <c r="L116">
        <v>1</v>
      </c>
      <c r="M116">
        <v>1</v>
      </c>
      <c r="N116" t="s">
        <v>41</v>
      </c>
      <c r="O116" s="7">
        <v>225000</v>
      </c>
      <c r="P116" s="7">
        <v>33750</v>
      </c>
      <c r="Q116" s="7">
        <v>191250</v>
      </c>
      <c r="R116" s="7">
        <f t="shared" si="6"/>
        <v>191250</v>
      </c>
      <c r="S116" t="s">
        <v>42</v>
      </c>
      <c r="T116" t="str">
        <f t="shared" si="7"/>
        <v>E-Wallet</v>
      </c>
      <c r="U116" t="s">
        <v>34</v>
      </c>
      <c r="W116" t="str">
        <f t="shared" si="8"/>
        <v/>
      </c>
      <c r="Y116" t="str">
        <f t="shared" si="9"/>
        <v/>
      </c>
      <c r="Z116" t="s">
        <v>27</v>
      </c>
      <c r="AA116" t="s">
        <v>96</v>
      </c>
      <c r="AC116" t="str">
        <f>IF(COUNTIF($A:$A,A116)&gt;1,"Duplicate","Unique")</f>
        <v>Unique</v>
      </c>
    </row>
    <row r="117" spans="1:29" x14ac:dyDescent="0.35">
      <c r="A117" t="s">
        <v>239</v>
      </c>
      <c r="B117" s="2">
        <v>45972</v>
      </c>
      <c r="C117" s="9">
        <f t="shared" si="5"/>
        <v>45972</v>
      </c>
      <c r="D117" t="s">
        <v>45</v>
      </c>
      <c r="E117" t="str">
        <v>Malang</v>
      </c>
      <c r="F117" t="s">
        <v>20</v>
      </c>
      <c r="G117" t="s">
        <v>21</v>
      </c>
      <c r="H117" t="str">
        <v>Content Batch</v>
      </c>
      <c r="I117" t="s">
        <v>39</v>
      </c>
      <c r="J117" t="str">
        <v>Website</v>
      </c>
      <c r="K117" t="s">
        <v>40</v>
      </c>
      <c r="L117">
        <v>1</v>
      </c>
      <c r="M117">
        <v>1</v>
      </c>
      <c r="N117" t="s">
        <v>41</v>
      </c>
      <c r="O117" s="7">
        <v>120000</v>
      </c>
      <c r="P117" s="7">
        <v>18000</v>
      </c>
      <c r="Q117" s="7">
        <v>102000</v>
      </c>
      <c r="R117" s="7">
        <f t="shared" si="6"/>
        <v>102000</v>
      </c>
      <c r="S117" t="s">
        <v>33</v>
      </c>
      <c r="T117" t="str">
        <f t="shared" si="7"/>
        <v>Virtual Account</v>
      </c>
      <c r="U117" t="s">
        <v>34</v>
      </c>
      <c r="V117">
        <v>4</v>
      </c>
      <c r="W117">
        <f t="shared" si="8"/>
        <v>4</v>
      </c>
      <c r="Y117" t="str">
        <f t="shared" si="9"/>
        <v/>
      </c>
      <c r="Z117" t="s">
        <v>27</v>
      </c>
      <c r="AA117" t="s">
        <v>49</v>
      </c>
      <c r="AC117" t="str">
        <f>IF(COUNTIF($A:$A,A117)&gt;1,"Duplicate","Unique")</f>
        <v>Unique</v>
      </c>
    </row>
    <row r="118" spans="1:29" x14ac:dyDescent="0.35">
      <c r="A118" t="s">
        <v>240</v>
      </c>
      <c r="B118" s="2">
        <v>45729</v>
      </c>
      <c r="C118" s="9">
        <f t="shared" si="5"/>
        <v>45729</v>
      </c>
      <c r="D118" t="s">
        <v>37</v>
      </c>
      <c r="E118" t="str">
        <v>Bandung</v>
      </c>
      <c r="F118" t="s">
        <v>59</v>
      </c>
      <c r="G118" t="s">
        <v>99</v>
      </c>
      <c r="H118" t="str">
        <v>Live Streaming</v>
      </c>
      <c r="I118" t="s">
        <v>112</v>
      </c>
      <c r="J118" t="str">
        <v>Marketplace</v>
      </c>
      <c r="K118" t="s">
        <v>47</v>
      </c>
      <c r="L118">
        <v>1</v>
      </c>
      <c r="M118">
        <v>1</v>
      </c>
      <c r="N118" t="s">
        <v>55</v>
      </c>
      <c r="O118" s="7">
        <v>215000</v>
      </c>
      <c r="P118" s="7">
        <v>10750</v>
      </c>
      <c r="Q118" s="7">
        <v>204250</v>
      </c>
      <c r="R118" s="7">
        <f t="shared" si="6"/>
        <v>204250</v>
      </c>
      <c r="S118" t="s">
        <v>25</v>
      </c>
      <c r="T118" t="str">
        <f t="shared" si="7"/>
        <v>Transfer</v>
      </c>
      <c r="U118" t="s">
        <v>34</v>
      </c>
      <c r="V118">
        <v>5</v>
      </c>
      <c r="W118">
        <f t="shared" si="8"/>
        <v>5</v>
      </c>
      <c r="Y118" t="str">
        <f t="shared" si="9"/>
        <v/>
      </c>
      <c r="Z118" t="s">
        <v>60</v>
      </c>
      <c r="AA118" t="s">
        <v>49</v>
      </c>
      <c r="AC118" t="str">
        <f>IF(COUNTIF($A:$A,A118)&gt;1,"Duplicate","Unique")</f>
        <v>Unique</v>
      </c>
    </row>
    <row r="119" spans="1:29" x14ac:dyDescent="0.35">
      <c r="A119" t="s">
        <v>241</v>
      </c>
      <c r="B119" s="2">
        <v>45933</v>
      </c>
      <c r="C119" s="9">
        <f t="shared" si="5"/>
        <v>45933</v>
      </c>
      <c r="D119" t="s">
        <v>53</v>
      </c>
      <c r="E119" t="str">
        <v>Surabaya</v>
      </c>
      <c r="F119" t="s">
        <v>46</v>
      </c>
      <c r="G119" t="s">
        <v>99</v>
      </c>
      <c r="H119" t="str">
        <v>Live Streaming</v>
      </c>
      <c r="I119" t="s">
        <v>112</v>
      </c>
      <c r="J119" t="str">
        <v>Marketplace</v>
      </c>
      <c r="K119" t="s">
        <v>66</v>
      </c>
      <c r="L119">
        <v>1</v>
      </c>
      <c r="M119">
        <v>1</v>
      </c>
      <c r="N119" t="s">
        <v>41</v>
      </c>
      <c r="O119" s="7">
        <v>210000</v>
      </c>
      <c r="P119" s="7">
        <v>21000</v>
      </c>
      <c r="Q119" s="7">
        <v>189000</v>
      </c>
      <c r="R119" s="7">
        <f t="shared" si="6"/>
        <v>189000</v>
      </c>
      <c r="S119" t="s">
        <v>25</v>
      </c>
      <c r="T119" t="str">
        <f t="shared" si="7"/>
        <v>Transfer</v>
      </c>
      <c r="U119" t="s">
        <v>56</v>
      </c>
      <c r="W119" t="str">
        <f t="shared" si="8"/>
        <v/>
      </c>
      <c r="Y119" t="str">
        <f t="shared" si="9"/>
        <v/>
      </c>
      <c r="Z119" t="s">
        <v>72</v>
      </c>
      <c r="AC119" t="str">
        <f>IF(COUNTIF($A:$A,A119)&gt;1,"Duplicate","Unique")</f>
        <v>Unique</v>
      </c>
    </row>
    <row r="120" spans="1:29" x14ac:dyDescent="0.35">
      <c r="A120" t="s">
        <v>242</v>
      </c>
      <c r="B120" s="2">
        <v>45888</v>
      </c>
      <c r="C120" s="9">
        <f t="shared" si="5"/>
        <v>45888</v>
      </c>
      <c r="D120" t="s">
        <v>53</v>
      </c>
      <c r="E120" t="str">
        <v>Surabaya</v>
      </c>
      <c r="F120" t="s">
        <v>59</v>
      </c>
      <c r="G120" t="s">
        <v>38</v>
      </c>
      <c r="H120" t="str">
        <v>Podcast Recording</v>
      </c>
      <c r="I120" t="s">
        <v>54</v>
      </c>
      <c r="J120" t="str">
        <v>Referral</v>
      </c>
      <c r="K120" t="s">
        <v>47</v>
      </c>
      <c r="L120">
        <v>4</v>
      </c>
      <c r="M120">
        <v>4</v>
      </c>
      <c r="N120" t="s">
        <v>41</v>
      </c>
      <c r="O120" s="7">
        <v>700000</v>
      </c>
      <c r="P120" s="7">
        <v>105000</v>
      </c>
      <c r="Q120" s="7">
        <v>595000</v>
      </c>
      <c r="R120" s="7">
        <f t="shared" si="6"/>
        <v>595000</v>
      </c>
      <c r="S120" t="s">
        <v>42</v>
      </c>
      <c r="T120" t="str">
        <f t="shared" si="7"/>
        <v>E-Wallet</v>
      </c>
      <c r="U120" t="s">
        <v>34</v>
      </c>
      <c r="V120">
        <v>5</v>
      </c>
      <c r="W120">
        <f t="shared" si="8"/>
        <v>5</v>
      </c>
      <c r="Y120" t="str">
        <f t="shared" si="9"/>
        <v/>
      </c>
      <c r="Z120" t="s">
        <v>27</v>
      </c>
      <c r="AA120" t="s">
        <v>94</v>
      </c>
      <c r="AC120" t="str">
        <f>IF(COUNTIF($A:$A,A120)&gt;1,"Duplicate","Unique")</f>
        <v>Unique</v>
      </c>
    </row>
    <row r="121" spans="1:29" x14ac:dyDescent="0.35">
      <c r="A121" t="s">
        <v>243</v>
      </c>
      <c r="B121" s="2">
        <v>45806</v>
      </c>
      <c r="C121" s="9">
        <f t="shared" si="5"/>
        <v>45806</v>
      </c>
      <c r="D121" t="s">
        <v>45</v>
      </c>
      <c r="E121" t="str">
        <v>Malang</v>
      </c>
      <c r="F121" t="s">
        <v>59</v>
      </c>
      <c r="G121" t="s">
        <v>90</v>
      </c>
      <c r="H121" t="str">
        <v>Voice Over</v>
      </c>
      <c r="I121" t="s">
        <v>84</v>
      </c>
      <c r="J121" t="str">
        <v>Instagram</v>
      </c>
      <c r="K121" t="s">
        <v>23</v>
      </c>
      <c r="L121">
        <v>1</v>
      </c>
      <c r="M121">
        <v>1</v>
      </c>
      <c r="N121" t="s">
        <v>55</v>
      </c>
      <c r="O121" s="7">
        <v>215000</v>
      </c>
      <c r="P121" s="7">
        <v>32250</v>
      </c>
      <c r="Q121" s="7">
        <v>182750</v>
      </c>
      <c r="R121" s="7">
        <f t="shared" si="6"/>
        <v>182750</v>
      </c>
      <c r="S121" t="s">
        <v>78</v>
      </c>
      <c r="T121" t="str">
        <f t="shared" si="7"/>
        <v>Cash</v>
      </c>
      <c r="U121" t="s">
        <v>34</v>
      </c>
      <c r="W121" t="str">
        <f t="shared" si="8"/>
        <v/>
      </c>
      <c r="Y121" t="str">
        <f t="shared" si="9"/>
        <v/>
      </c>
      <c r="Z121" t="s">
        <v>72</v>
      </c>
      <c r="AC121" t="str">
        <f>IF(COUNTIF($A:$A,A121)&gt;1,"Duplicate","Unique")</f>
        <v>Unique</v>
      </c>
    </row>
    <row r="122" spans="1:29" x14ac:dyDescent="0.35">
      <c r="A122" t="s">
        <v>244</v>
      </c>
      <c r="B122" s="2">
        <v>45864</v>
      </c>
      <c r="C122" s="9">
        <f t="shared" si="5"/>
        <v>45864</v>
      </c>
      <c r="D122" t="s">
        <v>45</v>
      </c>
      <c r="E122" t="str">
        <v>Malang</v>
      </c>
      <c r="F122" t="s">
        <v>59</v>
      </c>
      <c r="G122" t="s">
        <v>21</v>
      </c>
      <c r="H122" t="str">
        <v>Content Batch</v>
      </c>
      <c r="I122" t="s">
        <v>22</v>
      </c>
      <c r="J122" t="str">
        <v>Whatsapp</v>
      </c>
      <c r="K122" t="s">
        <v>66</v>
      </c>
      <c r="L122">
        <v>1</v>
      </c>
      <c r="M122">
        <v>1</v>
      </c>
      <c r="N122" t="s">
        <v>24</v>
      </c>
      <c r="O122" s="7">
        <v>140000</v>
      </c>
      <c r="P122" s="7">
        <v>21000</v>
      </c>
      <c r="Q122" s="7">
        <v>119000</v>
      </c>
      <c r="R122" s="7">
        <f t="shared" si="6"/>
        <v>119000</v>
      </c>
      <c r="S122" t="s">
        <v>33</v>
      </c>
      <c r="T122" t="str">
        <f t="shared" si="7"/>
        <v>Virtual Account</v>
      </c>
      <c r="U122" t="s">
        <v>56</v>
      </c>
      <c r="V122">
        <v>4</v>
      </c>
      <c r="W122">
        <f t="shared" si="8"/>
        <v>4</v>
      </c>
      <c r="Y122" t="str">
        <f t="shared" si="9"/>
        <v/>
      </c>
      <c r="Z122" t="s">
        <v>48</v>
      </c>
      <c r="AA122" t="s">
        <v>94</v>
      </c>
      <c r="AC122" t="str">
        <f>IF(COUNTIF($A:$A,A122)&gt;1,"Duplicate","Unique")</f>
        <v>Unique</v>
      </c>
    </row>
    <row r="123" spans="1:29" x14ac:dyDescent="0.35">
      <c r="A123" t="s">
        <v>245</v>
      </c>
      <c r="B123" s="2">
        <v>45724</v>
      </c>
      <c r="C123" s="9">
        <f t="shared" si="5"/>
        <v>45724</v>
      </c>
      <c r="D123" t="s">
        <v>45</v>
      </c>
      <c r="E123" t="str">
        <v>Malang</v>
      </c>
      <c r="F123" t="s">
        <v>30</v>
      </c>
      <c r="G123" t="s">
        <v>31</v>
      </c>
      <c r="H123" t="str">
        <v>Product Photoshoot</v>
      </c>
      <c r="I123" t="s">
        <v>84</v>
      </c>
      <c r="J123" t="str">
        <v>Instagram</v>
      </c>
      <c r="K123" t="s">
        <v>47</v>
      </c>
      <c r="L123" t="s">
        <v>88</v>
      </c>
      <c r="M123">
        <v>1</v>
      </c>
      <c r="N123" t="s">
        <v>55</v>
      </c>
      <c r="O123" s="7">
        <v>200000</v>
      </c>
      <c r="P123" s="7">
        <v>10000</v>
      </c>
      <c r="Q123" s="7">
        <v>190000</v>
      </c>
      <c r="R123" s="7">
        <f t="shared" si="6"/>
        <v>190000</v>
      </c>
      <c r="S123" t="s">
        <v>78</v>
      </c>
      <c r="T123" t="str">
        <f t="shared" si="7"/>
        <v>Cash</v>
      </c>
      <c r="U123" t="s">
        <v>34</v>
      </c>
      <c r="V123">
        <v>4</v>
      </c>
      <c r="W123">
        <f t="shared" si="8"/>
        <v>4</v>
      </c>
      <c r="Y123" t="str">
        <f t="shared" si="9"/>
        <v/>
      </c>
      <c r="Z123" t="s">
        <v>72</v>
      </c>
      <c r="AC123" t="str">
        <f>IF(COUNTIF($A:$A,A123)&gt;1,"Duplicate","Unique")</f>
        <v>Unique</v>
      </c>
    </row>
    <row r="124" spans="1:29" x14ac:dyDescent="0.35">
      <c r="A124" t="s">
        <v>246</v>
      </c>
      <c r="B124" t="s">
        <v>247</v>
      </c>
      <c r="C124" s="9">
        <f t="shared" si="5"/>
        <v>45848</v>
      </c>
      <c r="D124" t="s">
        <v>37</v>
      </c>
      <c r="E124" t="str">
        <v>Bandung</v>
      </c>
      <c r="F124" t="s">
        <v>20</v>
      </c>
      <c r="G124" t="s">
        <v>153</v>
      </c>
      <c r="H124" t="str">
        <v>Live Streaming</v>
      </c>
      <c r="I124" t="s">
        <v>22</v>
      </c>
      <c r="J124" t="str">
        <v>Whatsapp</v>
      </c>
      <c r="K124" t="s">
        <v>23</v>
      </c>
      <c r="L124">
        <v>1</v>
      </c>
      <c r="M124">
        <v>1</v>
      </c>
      <c r="N124" t="s">
        <v>24</v>
      </c>
      <c r="O124" s="7">
        <v>85000</v>
      </c>
      <c r="P124" s="7">
        <v>0</v>
      </c>
      <c r="Q124" s="7">
        <v>85000</v>
      </c>
      <c r="R124" s="7">
        <f t="shared" si="6"/>
        <v>85000</v>
      </c>
      <c r="S124" t="s">
        <v>25</v>
      </c>
      <c r="T124" t="str">
        <f t="shared" si="7"/>
        <v>Transfer</v>
      </c>
      <c r="U124" t="s">
        <v>26</v>
      </c>
      <c r="V124">
        <v>4</v>
      </c>
      <c r="W124">
        <f t="shared" si="8"/>
        <v>4</v>
      </c>
      <c r="Y124" t="str">
        <f t="shared" si="9"/>
        <v>Not Provided</v>
      </c>
      <c r="Z124" t="s">
        <v>43</v>
      </c>
      <c r="AC124" t="str">
        <f>IF(COUNTIF($A:$A,A124)&gt;1,"Duplicate","Unique")</f>
        <v>Unique</v>
      </c>
    </row>
    <row r="125" spans="1:29" x14ac:dyDescent="0.35">
      <c r="A125" t="s">
        <v>248</v>
      </c>
      <c r="B125" s="2">
        <v>45694</v>
      </c>
      <c r="C125" s="9">
        <f t="shared" si="5"/>
        <v>45694</v>
      </c>
      <c r="D125" t="s">
        <v>178</v>
      </c>
      <c r="E125" t="str">
        <v>Bandung</v>
      </c>
      <c r="F125" t="s">
        <v>30</v>
      </c>
      <c r="G125" t="s">
        <v>38</v>
      </c>
      <c r="H125" t="str">
        <v>Podcast Recording</v>
      </c>
      <c r="I125" t="s">
        <v>84</v>
      </c>
      <c r="J125" t="str">
        <v>Instagram</v>
      </c>
      <c r="K125" t="s">
        <v>47</v>
      </c>
      <c r="L125">
        <v>2</v>
      </c>
      <c r="M125">
        <v>2</v>
      </c>
      <c r="N125" t="s">
        <v>55</v>
      </c>
      <c r="O125" s="7">
        <v>400000</v>
      </c>
      <c r="P125" s="7">
        <v>60000</v>
      </c>
      <c r="Q125" s="7">
        <v>340000</v>
      </c>
      <c r="R125" s="7">
        <f t="shared" si="6"/>
        <v>340000</v>
      </c>
      <c r="S125" t="s">
        <v>33</v>
      </c>
      <c r="T125" t="str">
        <f t="shared" si="7"/>
        <v>Virtual Account</v>
      </c>
      <c r="U125" t="s">
        <v>34</v>
      </c>
      <c r="V125">
        <v>5</v>
      </c>
      <c r="W125">
        <f t="shared" si="8"/>
        <v>5</v>
      </c>
      <c r="Y125" t="str">
        <f t="shared" si="9"/>
        <v/>
      </c>
      <c r="Z125" t="s">
        <v>48</v>
      </c>
      <c r="AC125" t="str">
        <f>IF(COUNTIF($A:$A,A125)&gt;1,"Duplicate","Unique")</f>
        <v>Unique</v>
      </c>
    </row>
    <row r="126" spans="1:29" x14ac:dyDescent="0.35">
      <c r="A126" t="s">
        <v>249</v>
      </c>
      <c r="B126" t="s">
        <v>250</v>
      </c>
      <c r="C126" s="9">
        <f t="shared" si="5"/>
        <v>46009</v>
      </c>
      <c r="D126" t="s">
        <v>69</v>
      </c>
      <c r="E126" t="str">
        <v>Yogyakarta</v>
      </c>
      <c r="F126" t="s">
        <v>46</v>
      </c>
      <c r="G126" t="s">
        <v>38</v>
      </c>
      <c r="H126" t="str">
        <v>Podcast Recording</v>
      </c>
      <c r="I126" t="s">
        <v>84</v>
      </c>
      <c r="J126" t="str">
        <v>Instagram</v>
      </c>
      <c r="K126" t="s">
        <v>23</v>
      </c>
      <c r="L126">
        <v>2</v>
      </c>
      <c r="M126">
        <v>2</v>
      </c>
      <c r="N126" t="s">
        <v>41</v>
      </c>
      <c r="O126" s="7">
        <v>420000</v>
      </c>
      <c r="P126" s="7">
        <v>0</v>
      </c>
      <c r="Q126" s="7">
        <v>420000</v>
      </c>
      <c r="R126" s="7">
        <f t="shared" si="6"/>
        <v>420000</v>
      </c>
      <c r="S126" t="s">
        <v>78</v>
      </c>
      <c r="T126" t="str">
        <f t="shared" si="7"/>
        <v>Cash</v>
      </c>
      <c r="U126" t="s">
        <v>34</v>
      </c>
      <c r="V126">
        <v>4</v>
      </c>
      <c r="W126">
        <f t="shared" si="8"/>
        <v>4</v>
      </c>
      <c r="Y126" t="str">
        <f t="shared" si="9"/>
        <v/>
      </c>
      <c r="Z126" t="s">
        <v>60</v>
      </c>
      <c r="AC126" t="str">
        <f>IF(COUNTIF($A:$A,A126)&gt;1,"Duplicate","Unique")</f>
        <v>Unique</v>
      </c>
    </row>
    <row r="127" spans="1:29" x14ac:dyDescent="0.35">
      <c r="A127" t="s">
        <v>251</v>
      </c>
      <c r="B127" s="2">
        <v>45923</v>
      </c>
      <c r="C127" s="9">
        <f t="shared" si="5"/>
        <v>45923</v>
      </c>
      <c r="D127" t="s">
        <v>45</v>
      </c>
      <c r="E127" t="str">
        <v>Malang</v>
      </c>
      <c r="F127" t="s">
        <v>80</v>
      </c>
      <c r="G127" t="s">
        <v>103</v>
      </c>
      <c r="H127" t="str">
        <v>Video Podcast</v>
      </c>
      <c r="I127" t="s">
        <v>54</v>
      </c>
      <c r="J127" t="str">
        <v>Referral</v>
      </c>
      <c r="K127" t="s">
        <v>40</v>
      </c>
      <c r="L127">
        <v>2</v>
      </c>
      <c r="M127">
        <v>2</v>
      </c>
      <c r="N127" t="s">
        <v>24</v>
      </c>
      <c r="O127" s="7">
        <v>380000</v>
      </c>
      <c r="P127" s="7">
        <v>0</v>
      </c>
      <c r="Q127" s="7">
        <v>380000</v>
      </c>
      <c r="R127" s="7">
        <f t="shared" si="6"/>
        <v>380000</v>
      </c>
      <c r="S127" t="s">
        <v>42</v>
      </c>
      <c r="T127" t="str">
        <f t="shared" si="7"/>
        <v>E-Wallet</v>
      </c>
      <c r="U127" t="s">
        <v>34</v>
      </c>
      <c r="V127">
        <v>4</v>
      </c>
      <c r="W127">
        <f t="shared" si="8"/>
        <v>4</v>
      </c>
      <c r="Y127" t="str">
        <f t="shared" si="9"/>
        <v/>
      </c>
      <c r="Z127" t="s">
        <v>43</v>
      </c>
      <c r="AA127" t="s">
        <v>94</v>
      </c>
      <c r="AC127" t="str">
        <f>IF(COUNTIF($A:$A,A127)&gt;1,"Duplicate","Unique")</f>
        <v>Unique</v>
      </c>
    </row>
    <row r="128" spans="1:29" x14ac:dyDescent="0.35">
      <c r="A128" t="s">
        <v>252</v>
      </c>
      <c r="B128" t="s">
        <v>253</v>
      </c>
      <c r="C128" s="9">
        <f t="shared" si="5"/>
        <v>45695</v>
      </c>
      <c r="D128" t="s">
        <v>58</v>
      </c>
      <c r="E128" t="str">
        <v>Jakarta</v>
      </c>
      <c r="F128" t="s">
        <v>80</v>
      </c>
      <c r="G128" t="s">
        <v>38</v>
      </c>
      <c r="H128" t="str">
        <v>Podcast Recording</v>
      </c>
      <c r="I128" t="s">
        <v>84</v>
      </c>
      <c r="J128" t="str">
        <v>Instagram</v>
      </c>
      <c r="K128" t="s">
        <v>40</v>
      </c>
      <c r="L128" t="s">
        <v>104</v>
      </c>
      <c r="M128">
        <v>2</v>
      </c>
      <c r="N128" t="s">
        <v>41</v>
      </c>
      <c r="O128" s="7">
        <v>450000</v>
      </c>
      <c r="P128" s="7">
        <v>67500</v>
      </c>
      <c r="Q128" s="7">
        <v>382500</v>
      </c>
      <c r="R128" s="7">
        <f t="shared" si="6"/>
        <v>382500</v>
      </c>
      <c r="S128" t="s">
        <v>25</v>
      </c>
      <c r="T128" t="str">
        <f t="shared" si="7"/>
        <v>Transfer</v>
      </c>
      <c r="U128" t="s">
        <v>34</v>
      </c>
      <c r="V128">
        <v>5</v>
      </c>
      <c r="W128">
        <f t="shared" si="8"/>
        <v>5</v>
      </c>
      <c r="Y128" t="str">
        <f t="shared" si="9"/>
        <v/>
      </c>
      <c r="Z128" t="s">
        <v>60</v>
      </c>
      <c r="AA128" t="s">
        <v>49</v>
      </c>
      <c r="AC128" t="str">
        <f>IF(COUNTIF($A:$A,A128)&gt;1,"Duplicate","Unique")</f>
        <v>Unique</v>
      </c>
    </row>
    <row r="129" spans="1:29" x14ac:dyDescent="0.35">
      <c r="A129" t="s">
        <v>254</v>
      </c>
      <c r="B129" t="s">
        <v>255</v>
      </c>
      <c r="C129" s="9">
        <f t="shared" si="5"/>
        <v>45932</v>
      </c>
      <c r="D129" t="s">
        <v>256</v>
      </c>
      <c r="E129" t="str">
        <v>Surabaya</v>
      </c>
      <c r="F129" t="s">
        <v>30</v>
      </c>
      <c r="G129" t="s">
        <v>90</v>
      </c>
      <c r="H129" t="str">
        <v>Voice Over</v>
      </c>
      <c r="I129" t="s">
        <v>84</v>
      </c>
      <c r="J129" t="str">
        <v>Instagram</v>
      </c>
      <c r="K129" t="s">
        <v>40</v>
      </c>
      <c r="L129" t="s">
        <v>88</v>
      </c>
      <c r="M129">
        <v>1</v>
      </c>
      <c r="N129" t="s">
        <v>24</v>
      </c>
      <c r="O129" s="7">
        <v>125000</v>
      </c>
      <c r="P129" s="7">
        <v>6250</v>
      </c>
      <c r="Q129" s="7">
        <v>118750</v>
      </c>
      <c r="R129" s="7">
        <f t="shared" si="6"/>
        <v>118750</v>
      </c>
      <c r="S129" t="s">
        <v>42</v>
      </c>
      <c r="T129" t="str">
        <f t="shared" si="7"/>
        <v>E-Wallet</v>
      </c>
      <c r="U129" t="s">
        <v>34</v>
      </c>
      <c r="V129">
        <v>3</v>
      </c>
      <c r="W129">
        <f t="shared" si="8"/>
        <v>3</v>
      </c>
      <c r="Y129" t="str">
        <f t="shared" si="9"/>
        <v/>
      </c>
      <c r="Z129" t="s">
        <v>43</v>
      </c>
      <c r="AA129" t="s">
        <v>96</v>
      </c>
      <c r="AC129" t="str">
        <f>IF(COUNTIF($A:$A,A129)&gt;1,"Duplicate","Unique")</f>
        <v>Unique</v>
      </c>
    </row>
    <row r="130" spans="1:29" x14ac:dyDescent="0.35">
      <c r="A130" t="s">
        <v>257</v>
      </c>
      <c r="B130" t="s">
        <v>258</v>
      </c>
      <c r="C130" s="9">
        <f t="shared" si="5"/>
        <v>45835</v>
      </c>
      <c r="D130" t="s">
        <v>45</v>
      </c>
      <c r="E130" t="str">
        <v>Malang</v>
      </c>
      <c r="F130" t="s">
        <v>80</v>
      </c>
      <c r="G130" t="s">
        <v>21</v>
      </c>
      <c r="H130" t="str">
        <v>Content Batch</v>
      </c>
      <c r="I130" t="s">
        <v>22</v>
      </c>
      <c r="J130" t="str">
        <v>Whatsapp</v>
      </c>
      <c r="K130" t="s">
        <v>23</v>
      </c>
      <c r="L130">
        <v>1</v>
      </c>
      <c r="M130">
        <v>1</v>
      </c>
      <c r="N130" t="s">
        <v>24</v>
      </c>
      <c r="O130" s="7">
        <v>190000</v>
      </c>
      <c r="P130" s="7">
        <v>0</v>
      </c>
      <c r="Q130" s="7">
        <v>190000</v>
      </c>
      <c r="R130" s="7">
        <f t="shared" si="6"/>
        <v>190000</v>
      </c>
      <c r="S130" t="s">
        <v>33</v>
      </c>
      <c r="T130" t="str">
        <f t="shared" si="7"/>
        <v>Virtual Account</v>
      </c>
      <c r="U130" t="s">
        <v>26</v>
      </c>
      <c r="W130" t="str">
        <f t="shared" si="8"/>
        <v/>
      </c>
      <c r="X130" t="s">
        <v>259</v>
      </c>
      <c r="Y130" t="str">
        <f t="shared" si="9"/>
        <v>Schedule conflict</v>
      </c>
      <c r="Z130" t="s">
        <v>60</v>
      </c>
      <c r="AC130" t="str">
        <f>IF(COUNTIF($A:$A,A130)&gt;1,"Duplicate","Unique")</f>
        <v>Unique</v>
      </c>
    </row>
    <row r="131" spans="1:29" x14ac:dyDescent="0.35">
      <c r="A131" t="s">
        <v>260</v>
      </c>
      <c r="B131" s="2">
        <v>45788</v>
      </c>
      <c r="C131" s="9">
        <f t="shared" ref="C131:C194" si="10">IF(B131="","",IF(ISNUMBER(B131),INT(B131),IF(ISNUMBER(DATEVALUE(B131)),DATEVALUE(B131),"")))</f>
        <v>45788</v>
      </c>
      <c r="D131" t="s">
        <v>58</v>
      </c>
      <c r="E131" t="str">
        <v>Jakarta</v>
      </c>
      <c r="F131" t="s">
        <v>80</v>
      </c>
      <c r="G131" t="s">
        <v>119</v>
      </c>
      <c r="H131" t="str">
        <v>Content Batch</v>
      </c>
      <c r="I131" t="s">
        <v>84</v>
      </c>
      <c r="J131" t="str">
        <v>Instagram</v>
      </c>
      <c r="K131" t="s">
        <v>23</v>
      </c>
      <c r="L131">
        <v>4</v>
      </c>
      <c r="M131">
        <v>4</v>
      </c>
      <c r="N131" t="s">
        <v>24</v>
      </c>
      <c r="O131" s="7">
        <v>760000</v>
      </c>
      <c r="P131" s="7">
        <v>0</v>
      </c>
      <c r="Q131" s="7">
        <v>760000</v>
      </c>
      <c r="R131" s="7">
        <f t="shared" ref="R131:R194" si="11">IF(Q131="","",IF(ISNUMBER(Q131),Q131,VALUE(SUBSTITUTE(SUBSTITUTE(Q131,"RP ",""),",",""))))</f>
        <v>760000</v>
      </c>
      <c r="S131" t="s">
        <v>25</v>
      </c>
      <c r="T131" t="str">
        <f t="shared" ref="T131:T194" si="12">IF(S131="","",PROPER(TRIM(S131)))</f>
        <v>Transfer</v>
      </c>
      <c r="U131" t="s">
        <v>34</v>
      </c>
      <c r="V131">
        <v>3</v>
      </c>
      <c r="W131">
        <f t="shared" ref="W131:W194" si="13">IF(V131="","",VALUE(V131))</f>
        <v>3</v>
      </c>
      <c r="Y131" t="str">
        <f t="shared" ref="Y131:Y194" si="14">IF(U131="Cancelled",IF(X131="","Not Provided",X131), "")</f>
        <v/>
      </c>
      <c r="Z131" t="s">
        <v>27</v>
      </c>
      <c r="AA131" t="s">
        <v>96</v>
      </c>
      <c r="AC131" t="str">
        <f>IF(COUNTIF($A:$A,A131)&gt;1,"Duplicate","Unique")</f>
        <v>Unique</v>
      </c>
    </row>
    <row r="132" spans="1:29" x14ac:dyDescent="0.35">
      <c r="A132" t="s">
        <v>261</v>
      </c>
      <c r="B132" s="2">
        <v>45796</v>
      </c>
      <c r="C132" s="9">
        <f t="shared" si="10"/>
        <v>45796</v>
      </c>
      <c r="D132" t="s">
        <v>58</v>
      </c>
      <c r="E132" t="str">
        <v>Jakarta</v>
      </c>
      <c r="F132" t="s">
        <v>80</v>
      </c>
      <c r="G132" t="s">
        <v>182</v>
      </c>
      <c r="H132" t="str">
        <v>Product Photoshoot</v>
      </c>
      <c r="I132" t="s">
        <v>84</v>
      </c>
      <c r="J132" t="str">
        <v>Instagram</v>
      </c>
      <c r="K132" t="s">
        <v>71</v>
      </c>
      <c r="L132">
        <v>1</v>
      </c>
      <c r="M132">
        <v>1</v>
      </c>
      <c r="N132" t="s">
        <v>24</v>
      </c>
      <c r="O132" s="7">
        <v>190000</v>
      </c>
      <c r="P132" s="7">
        <v>9500</v>
      </c>
      <c r="Q132" s="7">
        <v>180500</v>
      </c>
      <c r="R132" s="7">
        <f t="shared" si="11"/>
        <v>180500</v>
      </c>
      <c r="S132" t="s">
        <v>25</v>
      </c>
      <c r="T132" t="str">
        <f t="shared" si="12"/>
        <v>Transfer</v>
      </c>
      <c r="U132" t="s">
        <v>34</v>
      </c>
      <c r="V132">
        <v>3</v>
      </c>
      <c r="W132">
        <f t="shared" si="13"/>
        <v>3</v>
      </c>
      <c r="Y132" t="str">
        <f t="shared" si="14"/>
        <v/>
      </c>
      <c r="Z132" t="s">
        <v>60</v>
      </c>
      <c r="AA132" t="s">
        <v>96</v>
      </c>
      <c r="AC132" t="str">
        <f>IF(COUNTIF($A:$A,A132)&gt;1,"Duplicate","Unique")</f>
        <v>Unique</v>
      </c>
    </row>
    <row r="133" spans="1:29" x14ac:dyDescent="0.35">
      <c r="A133" t="s">
        <v>262</v>
      </c>
      <c r="B133" s="2">
        <v>45895</v>
      </c>
      <c r="C133" s="9">
        <f t="shared" si="10"/>
        <v>45895</v>
      </c>
      <c r="D133" t="s">
        <v>53</v>
      </c>
      <c r="E133" t="str">
        <v>Surabaya</v>
      </c>
      <c r="F133" t="s">
        <v>80</v>
      </c>
      <c r="G133" t="s">
        <v>64</v>
      </c>
      <c r="H133" t="str">
        <v>Live Streaming</v>
      </c>
      <c r="I133" t="s">
        <v>39</v>
      </c>
      <c r="J133" t="str">
        <v>Website</v>
      </c>
      <c r="K133" t="s">
        <v>71</v>
      </c>
      <c r="L133" t="s">
        <v>88</v>
      </c>
      <c r="M133">
        <v>1</v>
      </c>
      <c r="N133" t="s">
        <v>32</v>
      </c>
      <c r="O133" s="7">
        <v>240000</v>
      </c>
      <c r="P133" s="7">
        <v>0</v>
      </c>
      <c r="Q133" s="7">
        <v>240000</v>
      </c>
      <c r="R133" s="7">
        <f t="shared" si="11"/>
        <v>240000</v>
      </c>
      <c r="S133" t="s">
        <v>42</v>
      </c>
      <c r="T133" t="str">
        <f t="shared" si="12"/>
        <v>E-Wallet</v>
      </c>
      <c r="U133" t="s">
        <v>34</v>
      </c>
      <c r="V133">
        <v>4</v>
      </c>
      <c r="W133">
        <f t="shared" si="13"/>
        <v>4</v>
      </c>
      <c r="Y133" t="str">
        <f t="shared" si="14"/>
        <v/>
      </c>
      <c r="Z133" t="s">
        <v>60</v>
      </c>
      <c r="AA133" t="s">
        <v>49</v>
      </c>
      <c r="AC133" t="str">
        <f>IF(COUNTIF($A:$A,A133)&gt;1,"Duplicate","Unique")</f>
        <v>Unique</v>
      </c>
    </row>
    <row r="134" spans="1:29" x14ac:dyDescent="0.35">
      <c r="A134" t="s">
        <v>263</v>
      </c>
      <c r="B134" s="2">
        <v>45872</v>
      </c>
      <c r="C134" s="9">
        <f t="shared" si="10"/>
        <v>45872</v>
      </c>
      <c r="D134" t="s">
        <v>69</v>
      </c>
      <c r="E134" t="str">
        <v>Yogyakarta</v>
      </c>
      <c r="F134" t="s">
        <v>20</v>
      </c>
      <c r="G134" t="s">
        <v>103</v>
      </c>
      <c r="H134" t="str">
        <v>Video Podcast</v>
      </c>
      <c r="I134" t="s">
        <v>92</v>
      </c>
      <c r="J134" t="str">
        <v>Whatsapp</v>
      </c>
      <c r="K134" t="s">
        <v>47</v>
      </c>
      <c r="L134">
        <v>4</v>
      </c>
      <c r="M134">
        <v>4</v>
      </c>
      <c r="N134" t="s">
        <v>32</v>
      </c>
      <c r="O134" s="7">
        <v>540000</v>
      </c>
      <c r="P134" s="7">
        <v>81000</v>
      </c>
      <c r="Q134" s="7">
        <v>459000</v>
      </c>
      <c r="R134" s="7">
        <f t="shared" si="11"/>
        <v>459000</v>
      </c>
      <c r="T134" t="str">
        <f t="shared" si="12"/>
        <v/>
      </c>
      <c r="U134" t="s">
        <v>34</v>
      </c>
      <c r="V134">
        <v>4</v>
      </c>
      <c r="W134">
        <f t="shared" si="13"/>
        <v>4</v>
      </c>
      <c r="Y134" t="str">
        <f t="shared" si="14"/>
        <v/>
      </c>
      <c r="Z134" t="s">
        <v>27</v>
      </c>
      <c r="AA134" t="s">
        <v>96</v>
      </c>
      <c r="AC134" t="str">
        <f>IF(COUNTIF($A:$A,A134)&gt;1,"Duplicate","Unique")</f>
        <v>Unique</v>
      </c>
    </row>
    <row r="135" spans="1:29" x14ac:dyDescent="0.35">
      <c r="A135" t="s">
        <v>264</v>
      </c>
      <c r="B135" s="2">
        <v>45819</v>
      </c>
      <c r="C135" s="9">
        <f t="shared" si="10"/>
        <v>45819</v>
      </c>
      <c r="D135" t="s">
        <v>69</v>
      </c>
      <c r="E135" t="str">
        <v>Yogyakarta</v>
      </c>
      <c r="F135" t="s">
        <v>59</v>
      </c>
      <c r="G135" t="s">
        <v>31</v>
      </c>
      <c r="H135" t="str">
        <v>Product Photoshoot</v>
      </c>
      <c r="I135" t="s">
        <v>54</v>
      </c>
      <c r="J135" t="str">
        <v>Referral</v>
      </c>
      <c r="K135" t="s">
        <v>40</v>
      </c>
      <c r="L135" t="s">
        <v>51</v>
      </c>
      <c r="M135">
        <v>4</v>
      </c>
      <c r="N135" t="s">
        <v>24</v>
      </c>
      <c r="O135" s="7">
        <v>560000</v>
      </c>
      <c r="P135" s="7">
        <v>0</v>
      </c>
      <c r="Q135" s="7">
        <v>560000</v>
      </c>
      <c r="R135" s="7">
        <f t="shared" si="11"/>
        <v>560000</v>
      </c>
      <c r="S135" t="s">
        <v>42</v>
      </c>
      <c r="T135" t="str">
        <f t="shared" si="12"/>
        <v>E-Wallet</v>
      </c>
      <c r="U135" t="s">
        <v>34</v>
      </c>
      <c r="V135">
        <v>3</v>
      </c>
      <c r="W135">
        <f t="shared" si="13"/>
        <v>3</v>
      </c>
      <c r="Y135" t="str">
        <f t="shared" si="14"/>
        <v/>
      </c>
      <c r="Z135" t="s">
        <v>27</v>
      </c>
      <c r="AC135" t="str">
        <f>IF(COUNTIF($A:$A,A135)&gt;1,"Duplicate","Unique")</f>
        <v>Unique</v>
      </c>
    </row>
    <row r="136" spans="1:29" x14ac:dyDescent="0.35">
      <c r="A136" t="s">
        <v>265</v>
      </c>
      <c r="B136" t="s">
        <v>266</v>
      </c>
      <c r="C136" s="9">
        <f t="shared" si="10"/>
        <v>46018</v>
      </c>
      <c r="D136" t="s">
        <v>45</v>
      </c>
      <c r="E136" t="str">
        <v>Malang</v>
      </c>
      <c r="F136" t="s">
        <v>20</v>
      </c>
      <c r="G136" t="s">
        <v>103</v>
      </c>
      <c r="H136" t="str">
        <v>Video Podcast</v>
      </c>
      <c r="I136" t="s">
        <v>22</v>
      </c>
      <c r="J136" t="str">
        <v>Whatsapp</v>
      </c>
      <c r="K136" t="s">
        <v>23</v>
      </c>
      <c r="L136" t="s">
        <v>104</v>
      </c>
      <c r="M136">
        <v>2</v>
      </c>
      <c r="N136" t="s">
        <v>24</v>
      </c>
      <c r="O136" s="7">
        <v>170000</v>
      </c>
      <c r="P136" s="7">
        <v>25500</v>
      </c>
      <c r="Q136" s="7">
        <v>144500</v>
      </c>
      <c r="R136" s="7">
        <f t="shared" si="11"/>
        <v>144500</v>
      </c>
      <c r="S136" t="s">
        <v>42</v>
      </c>
      <c r="T136" t="str">
        <f t="shared" si="12"/>
        <v>E-Wallet</v>
      </c>
      <c r="U136" t="s">
        <v>34</v>
      </c>
      <c r="V136">
        <v>4</v>
      </c>
      <c r="W136">
        <f t="shared" si="13"/>
        <v>4</v>
      </c>
      <c r="Y136" t="str">
        <f t="shared" si="14"/>
        <v/>
      </c>
      <c r="Z136" t="s">
        <v>72</v>
      </c>
      <c r="AC136" t="str">
        <f>IF(COUNTIF($A:$A,A136)&gt;1,"Duplicate","Unique")</f>
        <v>Unique</v>
      </c>
    </row>
    <row r="137" spans="1:29" x14ac:dyDescent="0.35">
      <c r="A137" t="s">
        <v>267</v>
      </c>
      <c r="B137" s="2">
        <v>45664</v>
      </c>
      <c r="C137" s="9">
        <f t="shared" si="10"/>
        <v>45664</v>
      </c>
      <c r="D137" t="s">
        <v>58</v>
      </c>
      <c r="E137" t="str">
        <v>Jakarta</v>
      </c>
      <c r="F137" t="s">
        <v>46</v>
      </c>
      <c r="G137" t="s">
        <v>87</v>
      </c>
      <c r="H137" t="str">
        <v>Video Podcast</v>
      </c>
      <c r="I137" t="s">
        <v>39</v>
      </c>
      <c r="J137" t="str">
        <v>Website</v>
      </c>
      <c r="K137" t="s">
        <v>66</v>
      </c>
      <c r="L137">
        <v>2</v>
      </c>
      <c r="M137">
        <v>2</v>
      </c>
      <c r="N137" t="s">
        <v>41</v>
      </c>
      <c r="O137" s="7">
        <v>420000</v>
      </c>
      <c r="P137" s="7">
        <v>0</v>
      </c>
      <c r="Q137" s="7">
        <v>420000</v>
      </c>
      <c r="R137" s="7">
        <f t="shared" si="11"/>
        <v>420000</v>
      </c>
      <c r="S137" t="s">
        <v>25</v>
      </c>
      <c r="T137" t="str">
        <f t="shared" si="12"/>
        <v>Transfer</v>
      </c>
      <c r="U137" t="s">
        <v>56</v>
      </c>
      <c r="V137">
        <v>3</v>
      </c>
      <c r="W137">
        <f t="shared" si="13"/>
        <v>3</v>
      </c>
      <c r="Y137" t="str">
        <f t="shared" si="14"/>
        <v/>
      </c>
      <c r="Z137" t="s">
        <v>48</v>
      </c>
      <c r="AC137" t="str">
        <f>IF(COUNTIF($A:$A,A137)&gt;1,"Duplicate","Unique")</f>
        <v>Unique</v>
      </c>
    </row>
    <row r="138" spans="1:29" x14ac:dyDescent="0.35">
      <c r="A138" t="s">
        <v>268</v>
      </c>
      <c r="B138" t="s">
        <v>269</v>
      </c>
      <c r="C138" s="9">
        <f t="shared" si="10"/>
        <v>45879</v>
      </c>
      <c r="D138" t="s">
        <v>69</v>
      </c>
      <c r="E138" t="str">
        <v>Yogyakarta</v>
      </c>
      <c r="F138" t="s">
        <v>30</v>
      </c>
      <c r="G138" t="s">
        <v>38</v>
      </c>
      <c r="H138" t="str">
        <v>Podcast Recording</v>
      </c>
      <c r="I138" t="s">
        <v>54</v>
      </c>
      <c r="J138" t="str">
        <v>Referral</v>
      </c>
      <c r="K138" t="s">
        <v>66</v>
      </c>
      <c r="L138">
        <v>1</v>
      </c>
      <c r="M138">
        <v>1</v>
      </c>
      <c r="N138" t="s">
        <v>41</v>
      </c>
      <c r="O138" s="7">
        <v>160000</v>
      </c>
      <c r="P138" s="7">
        <v>8000</v>
      </c>
      <c r="Q138" s="7">
        <v>152000</v>
      </c>
      <c r="R138" s="7">
        <f t="shared" si="11"/>
        <v>152000</v>
      </c>
      <c r="S138" t="s">
        <v>42</v>
      </c>
      <c r="T138" t="str">
        <f t="shared" si="12"/>
        <v>E-Wallet</v>
      </c>
      <c r="U138" t="s">
        <v>34</v>
      </c>
      <c r="V138">
        <v>4</v>
      </c>
      <c r="W138">
        <f t="shared" si="13"/>
        <v>4</v>
      </c>
      <c r="Y138" t="str">
        <f t="shared" si="14"/>
        <v/>
      </c>
      <c r="Z138" t="s">
        <v>48</v>
      </c>
      <c r="AC138" t="str">
        <f>IF(COUNTIF($A:$A,A138)&gt;1,"Duplicate","Unique")</f>
        <v>Unique</v>
      </c>
    </row>
    <row r="139" spans="1:29" x14ac:dyDescent="0.35">
      <c r="A139" t="s">
        <v>270</v>
      </c>
      <c r="B139" s="2">
        <v>45785</v>
      </c>
      <c r="C139" s="9">
        <f t="shared" si="10"/>
        <v>45785</v>
      </c>
      <c r="D139" t="s">
        <v>199</v>
      </c>
      <c r="E139" t="str">
        <v>Malang</v>
      </c>
      <c r="F139" t="s">
        <v>20</v>
      </c>
      <c r="G139" t="s">
        <v>64</v>
      </c>
      <c r="H139" t="str">
        <v>Live Streaming</v>
      </c>
      <c r="I139" t="s">
        <v>22</v>
      </c>
      <c r="J139" t="str">
        <v>Whatsapp</v>
      </c>
      <c r="K139" t="s">
        <v>66</v>
      </c>
      <c r="L139">
        <v>2</v>
      </c>
      <c r="M139">
        <v>2</v>
      </c>
      <c r="N139" t="s">
        <v>41</v>
      </c>
      <c r="O139" s="7">
        <v>240000</v>
      </c>
      <c r="P139" s="7">
        <v>12000</v>
      </c>
      <c r="Q139" s="7">
        <v>228000</v>
      </c>
      <c r="R139" s="7">
        <f t="shared" si="11"/>
        <v>228000</v>
      </c>
      <c r="S139" t="s">
        <v>78</v>
      </c>
      <c r="T139" t="str">
        <f t="shared" si="12"/>
        <v>Cash</v>
      </c>
      <c r="U139" t="s">
        <v>34</v>
      </c>
      <c r="V139">
        <v>4</v>
      </c>
      <c r="W139">
        <f t="shared" si="13"/>
        <v>4</v>
      </c>
      <c r="Y139" t="str">
        <f t="shared" si="14"/>
        <v/>
      </c>
      <c r="Z139" t="s">
        <v>48</v>
      </c>
      <c r="AC139" t="str">
        <f>IF(COUNTIF($A:$A,A139)&gt;1,"Duplicate","Unique")</f>
        <v>Unique</v>
      </c>
    </row>
    <row r="140" spans="1:29" x14ac:dyDescent="0.35">
      <c r="A140" t="s">
        <v>271</v>
      </c>
      <c r="B140" s="2">
        <v>45777</v>
      </c>
      <c r="C140" s="9">
        <f t="shared" si="10"/>
        <v>45777</v>
      </c>
      <c r="D140" t="s">
        <v>37</v>
      </c>
      <c r="E140" t="str">
        <v>Bandung</v>
      </c>
      <c r="F140" t="s">
        <v>20</v>
      </c>
      <c r="G140" t="s">
        <v>103</v>
      </c>
      <c r="H140" t="str">
        <v>Video Podcast</v>
      </c>
      <c r="I140" t="s">
        <v>39</v>
      </c>
      <c r="J140" t="str">
        <v>Website</v>
      </c>
      <c r="K140" t="s">
        <v>40</v>
      </c>
      <c r="L140">
        <v>2</v>
      </c>
      <c r="M140">
        <v>2</v>
      </c>
      <c r="N140" t="s">
        <v>32</v>
      </c>
      <c r="O140" s="7">
        <v>270000</v>
      </c>
      <c r="P140" s="7">
        <v>0</v>
      </c>
      <c r="Q140" s="7">
        <v>270000</v>
      </c>
      <c r="R140" s="7">
        <f t="shared" si="11"/>
        <v>270000</v>
      </c>
      <c r="S140" t="s">
        <v>25</v>
      </c>
      <c r="T140" t="str">
        <f t="shared" si="12"/>
        <v>Transfer</v>
      </c>
      <c r="U140" t="s">
        <v>34</v>
      </c>
      <c r="W140" t="str">
        <f t="shared" si="13"/>
        <v/>
      </c>
      <c r="Y140" t="str">
        <f t="shared" si="14"/>
        <v/>
      </c>
      <c r="Z140" t="s">
        <v>60</v>
      </c>
      <c r="AA140" t="s">
        <v>35</v>
      </c>
      <c r="AC140" t="str">
        <f>IF(COUNTIF($A:$A,A140)&gt;1,"Duplicate","Unique")</f>
        <v>Unique</v>
      </c>
    </row>
    <row r="141" spans="1:29" x14ac:dyDescent="0.35">
      <c r="A141" t="s">
        <v>272</v>
      </c>
      <c r="B141" t="s">
        <v>273</v>
      </c>
      <c r="C141" s="9">
        <f t="shared" si="10"/>
        <v>45910</v>
      </c>
      <c r="D141" t="s">
        <v>45</v>
      </c>
      <c r="E141" t="str">
        <v>Malang</v>
      </c>
      <c r="F141" t="s">
        <v>59</v>
      </c>
      <c r="G141" t="s">
        <v>103</v>
      </c>
      <c r="H141" t="str">
        <v>Video Podcast</v>
      </c>
      <c r="I141" t="s">
        <v>54</v>
      </c>
      <c r="J141" t="str">
        <v>Referral</v>
      </c>
      <c r="K141" t="s">
        <v>47</v>
      </c>
      <c r="L141" t="s">
        <v>88</v>
      </c>
      <c r="M141">
        <v>1</v>
      </c>
      <c r="N141" t="s">
        <v>24</v>
      </c>
      <c r="O141" s="7">
        <v>140000</v>
      </c>
      <c r="P141" s="7">
        <v>14000</v>
      </c>
      <c r="Q141" s="7">
        <v>126000</v>
      </c>
      <c r="R141" s="7">
        <f t="shared" si="11"/>
        <v>126000</v>
      </c>
      <c r="S141" t="s">
        <v>42</v>
      </c>
      <c r="T141" t="str">
        <f t="shared" si="12"/>
        <v>E-Wallet</v>
      </c>
      <c r="U141" t="s">
        <v>56</v>
      </c>
      <c r="V141">
        <v>4</v>
      </c>
      <c r="W141">
        <f t="shared" si="13"/>
        <v>4</v>
      </c>
      <c r="Y141" t="str">
        <f t="shared" si="14"/>
        <v/>
      </c>
      <c r="Z141" t="s">
        <v>60</v>
      </c>
      <c r="AC141" t="str">
        <f>IF(COUNTIF($A:$A,A141)&gt;1,"Duplicate","Unique")</f>
        <v>Unique</v>
      </c>
    </row>
    <row r="142" spans="1:29" x14ac:dyDescent="0.35">
      <c r="A142" t="s">
        <v>274</v>
      </c>
      <c r="B142" s="2">
        <v>45714</v>
      </c>
      <c r="C142" s="9">
        <f t="shared" si="10"/>
        <v>45714</v>
      </c>
      <c r="D142" t="s">
        <v>45</v>
      </c>
      <c r="E142" t="str">
        <v>Malang</v>
      </c>
      <c r="F142" t="s">
        <v>59</v>
      </c>
      <c r="G142" t="s">
        <v>38</v>
      </c>
      <c r="H142" t="str">
        <v>Podcast Recording</v>
      </c>
      <c r="I142" t="s">
        <v>22</v>
      </c>
      <c r="J142" t="str">
        <v>Whatsapp</v>
      </c>
      <c r="K142" t="s">
        <v>66</v>
      </c>
      <c r="L142">
        <v>1</v>
      </c>
      <c r="M142">
        <v>1</v>
      </c>
      <c r="N142" t="s">
        <v>55</v>
      </c>
      <c r="O142" s="7">
        <v>215000</v>
      </c>
      <c r="P142" s="7">
        <v>0</v>
      </c>
      <c r="Q142" s="7">
        <v>215000</v>
      </c>
      <c r="R142" s="7">
        <f t="shared" si="11"/>
        <v>215000</v>
      </c>
      <c r="S142" t="s">
        <v>33</v>
      </c>
      <c r="T142" t="str">
        <f t="shared" si="12"/>
        <v>Virtual Account</v>
      </c>
      <c r="U142" t="s">
        <v>34</v>
      </c>
      <c r="V142">
        <v>5</v>
      </c>
      <c r="W142">
        <f t="shared" si="13"/>
        <v>5</v>
      </c>
      <c r="Y142" t="str">
        <f t="shared" si="14"/>
        <v/>
      </c>
      <c r="Z142" t="s">
        <v>60</v>
      </c>
      <c r="AA142" t="s">
        <v>96</v>
      </c>
      <c r="AC142" t="str">
        <f>IF(COUNTIF($A:$A,A142)&gt;1,"Duplicate","Unique")</f>
        <v>Unique</v>
      </c>
    </row>
    <row r="143" spans="1:29" x14ac:dyDescent="0.35">
      <c r="A143" t="s">
        <v>275</v>
      </c>
      <c r="B143" s="2">
        <v>45851</v>
      </c>
      <c r="C143" s="9">
        <f t="shared" si="10"/>
        <v>45851</v>
      </c>
      <c r="D143" t="s">
        <v>53</v>
      </c>
      <c r="E143" t="str">
        <v>Surabaya</v>
      </c>
      <c r="F143" t="s">
        <v>59</v>
      </c>
      <c r="G143" t="s">
        <v>103</v>
      </c>
      <c r="H143" t="str">
        <v>Video Podcast</v>
      </c>
      <c r="I143" t="s">
        <v>39</v>
      </c>
      <c r="J143" t="str">
        <v>Website</v>
      </c>
      <c r="K143" t="s">
        <v>47</v>
      </c>
      <c r="L143">
        <v>1</v>
      </c>
      <c r="M143">
        <v>1</v>
      </c>
      <c r="N143" t="s">
        <v>55</v>
      </c>
      <c r="O143" s="7">
        <v>215000</v>
      </c>
      <c r="P143" s="7">
        <v>21500</v>
      </c>
      <c r="Q143" s="7">
        <v>193500</v>
      </c>
      <c r="R143" s="7">
        <f t="shared" si="11"/>
        <v>193500</v>
      </c>
      <c r="S143" t="s">
        <v>78</v>
      </c>
      <c r="T143" t="str">
        <f t="shared" si="12"/>
        <v>Cash</v>
      </c>
      <c r="U143" t="s">
        <v>56</v>
      </c>
      <c r="V143">
        <v>4</v>
      </c>
      <c r="W143">
        <f t="shared" si="13"/>
        <v>4</v>
      </c>
      <c r="Y143" t="str">
        <f t="shared" si="14"/>
        <v/>
      </c>
      <c r="Z143" t="s">
        <v>72</v>
      </c>
      <c r="AA143" t="s">
        <v>35</v>
      </c>
      <c r="AC143" t="str">
        <f>IF(COUNTIF($A:$A,A143)&gt;1,"Duplicate","Unique")</f>
        <v>Unique</v>
      </c>
    </row>
    <row r="144" spans="1:29" x14ac:dyDescent="0.35">
      <c r="A144" t="s">
        <v>276</v>
      </c>
      <c r="B144" s="2">
        <v>46020</v>
      </c>
      <c r="C144" s="9">
        <f t="shared" si="10"/>
        <v>46020</v>
      </c>
      <c r="D144" t="s">
        <v>53</v>
      </c>
      <c r="E144" t="str">
        <v>Surabaya</v>
      </c>
      <c r="F144" t="s">
        <v>30</v>
      </c>
      <c r="G144" t="s">
        <v>38</v>
      </c>
      <c r="H144" t="str">
        <v>Podcast Recording</v>
      </c>
      <c r="I144" t="s">
        <v>22</v>
      </c>
      <c r="J144" t="str">
        <v>Whatsapp</v>
      </c>
      <c r="K144" t="s">
        <v>23</v>
      </c>
      <c r="L144">
        <v>1</v>
      </c>
      <c r="M144">
        <v>1</v>
      </c>
      <c r="N144" t="s">
        <v>24</v>
      </c>
      <c r="O144" s="7">
        <v>125000</v>
      </c>
      <c r="P144" s="7">
        <v>18750</v>
      </c>
      <c r="Q144" s="7">
        <v>106250</v>
      </c>
      <c r="R144" s="7">
        <f t="shared" si="11"/>
        <v>106250</v>
      </c>
      <c r="S144" t="s">
        <v>25</v>
      </c>
      <c r="T144" t="str">
        <f t="shared" si="12"/>
        <v>Transfer</v>
      </c>
      <c r="U144" t="s">
        <v>34</v>
      </c>
      <c r="V144">
        <v>3</v>
      </c>
      <c r="W144">
        <f t="shared" si="13"/>
        <v>3</v>
      </c>
      <c r="Y144" t="str">
        <f t="shared" si="14"/>
        <v/>
      </c>
      <c r="Z144" t="s">
        <v>60</v>
      </c>
      <c r="AC144" t="str">
        <f>IF(COUNTIF($A:$A,A144)&gt;1,"Duplicate","Unique")</f>
        <v>Unique</v>
      </c>
    </row>
    <row r="145" spans="1:29" x14ac:dyDescent="0.35">
      <c r="A145" t="s">
        <v>277</v>
      </c>
      <c r="B145" s="2">
        <v>45741</v>
      </c>
      <c r="C145" s="9">
        <f t="shared" si="10"/>
        <v>45741</v>
      </c>
      <c r="D145" t="s">
        <v>123</v>
      </c>
      <c r="E145" t="str">
        <v>Yogyakarta</v>
      </c>
      <c r="F145" t="s">
        <v>20</v>
      </c>
      <c r="G145" t="s">
        <v>38</v>
      </c>
      <c r="H145" t="str">
        <v>Podcast Recording</v>
      </c>
      <c r="I145" t="s">
        <v>22</v>
      </c>
      <c r="J145" t="str">
        <v>Whatsapp</v>
      </c>
      <c r="K145" t="s">
        <v>47</v>
      </c>
      <c r="L145">
        <v>1</v>
      </c>
      <c r="M145">
        <v>1</v>
      </c>
      <c r="N145" t="s">
        <v>55</v>
      </c>
      <c r="O145" s="7">
        <v>160000</v>
      </c>
      <c r="P145" s="7">
        <v>8000</v>
      </c>
      <c r="Q145" s="7">
        <v>152000</v>
      </c>
      <c r="R145" s="7">
        <f t="shared" si="11"/>
        <v>152000</v>
      </c>
      <c r="S145" t="s">
        <v>25</v>
      </c>
      <c r="T145" t="str">
        <f t="shared" si="12"/>
        <v>Transfer</v>
      </c>
      <c r="U145" t="s">
        <v>34</v>
      </c>
      <c r="V145">
        <v>4</v>
      </c>
      <c r="W145">
        <f t="shared" si="13"/>
        <v>4</v>
      </c>
      <c r="Y145" t="str">
        <f t="shared" si="14"/>
        <v/>
      </c>
      <c r="Z145" t="s">
        <v>60</v>
      </c>
      <c r="AA145" t="s">
        <v>94</v>
      </c>
      <c r="AC145" t="str">
        <f>IF(COUNTIF($A:$A,A145)&gt;1,"Duplicate","Unique")</f>
        <v>Unique</v>
      </c>
    </row>
    <row r="146" spans="1:29" x14ac:dyDescent="0.35">
      <c r="A146" t="s">
        <v>278</v>
      </c>
      <c r="B146" s="2">
        <v>45968</v>
      </c>
      <c r="C146" s="9">
        <f t="shared" si="10"/>
        <v>45968</v>
      </c>
      <c r="D146" t="s">
        <v>63</v>
      </c>
      <c r="E146" t="str">
        <v>Yogyakarta</v>
      </c>
      <c r="F146" t="s">
        <v>46</v>
      </c>
      <c r="G146" t="s">
        <v>38</v>
      </c>
      <c r="H146" t="str">
        <v>Podcast Recording</v>
      </c>
      <c r="I146" t="s">
        <v>84</v>
      </c>
      <c r="J146" t="str">
        <v>Instagram</v>
      </c>
      <c r="K146" t="s">
        <v>40</v>
      </c>
      <c r="L146">
        <v>3</v>
      </c>
      <c r="M146">
        <v>3</v>
      </c>
      <c r="N146" t="s">
        <v>41</v>
      </c>
      <c r="O146" s="7">
        <v>630000</v>
      </c>
      <c r="P146" s="7">
        <v>94500</v>
      </c>
      <c r="Q146" s="7">
        <v>535500</v>
      </c>
      <c r="R146" s="7">
        <f t="shared" si="11"/>
        <v>535500</v>
      </c>
      <c r="S146" t="s">
        <v>42</v>
      </c>
      <c r="T146" t="str">
        <f t="shared" si="12"/>
        <v>E-Wallet</v>
      </c>
      <c r="U146" t="s">
        <v>34</v>
      </c>
      <c r="V146">
        <v>4</v>
      </c>
      <c r="W146">
        <f t="shared" si="13"/>
        <v>4</v>
      </c>
      <c r="Y146" t="str">
        <f t="shared" si="14"/>
        <v/>
      </c>
      <c r="Z146" t="s">
        <v>48</v>
      </c>
      <c r="AC146" t="str">
        <f>IF(COUNTIF($A:$A,A146)&gt;1,"Duplicate","Unique")</f>
        <v>Unique</v>
      </c>
    </row>
    <row r="147" spans="1:29" x14ac:dyDescent="0.35">
      <c r="A147" t="s">
        <v>279</v>
      </c>
      <c r="B147" s="2">
        <v>45903</v>
      </c>
      <c r="C147" s="9">
        <f t="shared" si="10"/>
        <v>45903</v>
      </c>
      <c r="D147" t="s">
        <v>37</v>
      </c>
      <c r="E147" t="str">
        <v>Bandung</v>
      </c>
      <c r="F147" t="s">
        <v>20</v>
      </c>
      <c r="G147" t="s">
        <v>38</v>
      </c>
      <c r="H147" t="str">
        <v>Podcast Recording</v>
      </c>
      <c r="I147" t="s">
        <v>39</v>
      </c>
      <c r="J147" t="str">
        <v>Website</v>
      </c>
      <c r="K147" t="s">
        <v>23</v>
      </c>
      <c r="L147" t="s">
        <v>51</v>
      </c>
      <c r="M147">
        <v>4</v>
      </c>
      <c r="N147" t="s">
        <v>24</v>
      </c>
      <c r="O147" s="7">
        <v>340000</v>
      </c>
      <c r="P147" s="7">
        <v>0</v>
      </c>
      <c r="Q147" s="7">
        <v>340000</v>
      </c>
      <c r="R147" s="7">
        <f t="shared" si="11"/>
        <v>340000</v>
      </c>
      <c r="S147" t="s">
        <v>25</v>
      </c>
      <c r="T147" t="str">
        <f t="shared" si="12"/>
        <v>Transfer</v>
      </c>
      <c r="U147" t="s">
        <v>34</v>
      </c>
      <c r="W147" t="str">
        <f t="shared" si="13"/>
        <v/>
      </c>
      <c r="Y147" t="str">
        <f t="shared" si="14"/>
        <v/>
      </c>
      <c r="Z147" t="s">
        <v>27</v>
      </c>
      <c r="AA147" t="s">
        <v>96</v>
      </c>
      <c r="AC147" t="str">
        <f>IF(COUNTIF($A:$A,A147)&gt;1,"Duplicate","Unique")</f>
        <v>Unique</v>
      </c>
    </row>
    <row r="148" spans="1:29" x14ac:dyDescent="0.35">
      <c r="A148" t="s">
        <v>280</v>
      </c>
      <c r="B148" s="2">
        <v>45773</v>
      </c>
      <c r="C148" s="9">
        <f t="shared" si="10"/>
        <v>45773</v>
      </c>
      <c r="D148" t="s">
        <v>53</v>
      </c>
      <c r="E148" t="str">
        <v>Surabaya</v>
      </c>
      <c r="F148" t="s">
        <v>80</v>
      </c>
      <c r="G148" t="s">
        <v>38</v>
      </c>
      <c r="H148" t="str">
        <v>Podcast Recording</v>
      </c>
      <c r="I148" t="s">
        <v>39</v>
      </c>
      <c r="J148" t="str">
        <v>Website</v>
      </c>
      <c r="K148" t="s">
        <v>47</v>
      </c>
      <c r="L148">
        <v>2</v>
      </c>
      <c r="M148">
        <v>2</v>
      </c>
      <c r="N148" t="s">
        <v>55</v>
      </c>
      <c r="O148" s="7">
        <v>530000</v>
      </c>
      <c r="P148" s="7">
        <v>53000</v>
      </c>
      <c r="Q148" s="7">
        <v>477000</v>
      </c>
      <c r="R148" s="7">
        <f t="shared" si="11"/>
        <v>477000</v>
      </c>
      <c r="S148" t="s">
        <v>33</v>
      </c>
      <c r="T148" t="str">
        <f t="shared" si="12"/>
        <v>Virtual Account</v>
      </c>
      <c r="U148" t="s">
        <v>56</v>
      </c>
      <c r="V148">
        <v>3</v>
      </c>
      <c r="W148">
        <f t="shared" si="13"/>
        <v>3</v>
      </c>
      <c r="Y148" t="str">
        <f t="shared" si="14"/>
        <v/>
      </c>
      <c r="Z148" t="s">
        <v>72</v>
      </c>
      <c r="AA148" t="s">
        <v>35</v>
      </c>
      <c r="AC148" t="str">
        <f>IF(COUNTIF($A:$A,A148)&gt;1,"Duplicate","Unique")</f>
        <v>Unique</v>
      </c>
    </row>
    <row r="149" spans="1:29" x14ac:dyDescent="0.35">
      <c r="A149" t="s">
        <v>281</v>
      </c>
      <c r="B149" s="2">
        <v>45915</v>
      </c>
      <c r="C149" s="9">
        <f t="shared" si="10"/>
        <v>45915</v>
      </c>
      <c r="D149" t="s">
        <v>45</v>
      </c>
      <c r="E149" t="str">
        <v>Malang</v>
      </c>
      <c r="F149" t="s">
        <v>80</v>
      </c>
      <c r="G149" t="s">
        <v>90</v>
      </c>
      <c r="H149" t="str">
        <v>Voice Over</v>
      </c>
      <c r="I149" t="s">
        <v>112</v>
      </c>
      <c r="J149" t="str">
        <v>Marketplace</v>
      </c>
      <c r="K149" t="s">
        <v>23</v>
      </c>
      <c r="L149">
        <v>1</v>
      </c>
      <c r="M149">
        <v>1</v>
      </c>
      <c r="N149" t="s">
        <v>55</v>
      </c>
      <c r="O149" s="7">
        <v>265000</v>
      </c>
      <c r="P149" s="7">
        <v>0</v>
      </c>
      <c r="Q149" s="7">
        <v>265000</v>
      </c>
      <c r="R149" s="7">
        <f t="shared" si="11"/>
        <v>265000</v>
      </c>
      <c r="S149" t="s">
        <v>78</v>
      </c>
      <c r="T149" t="str">
        <f t="shared" si="12"/>
        <v>Cash</v>
      </c>
      <c r="U149" t="s">
        <v>34</v>
      </c>
      <c r="V149">
        <v>4</v>
      </c>
      <c r="W149">
        <f t="shared" si="13"/>
        <v>4</v>
      </c>
      <c r="Y149" t="str">
        <f t="shared" si="14"/>
        <v/>
      </c>
      <c r="Z149" t="s">
        <v>43</v>
      </c>
      <c r="AC149" t="str">
        <f>IF(COUNTIF($A:$A,A149)&gt;1,"Duplicate","Unique")</f>
        <v>Unique</v>
      </c>
    </row>
    <row r="150" spans="1:29" x14ac:dyDescent="0.35">
      <c r="A150" t="s">
        <v>282</v>
      </c>
      <c r="B150" s="2">
        <v>45942</v>
      </c>
      <c r="C150" s="9">
        <f t="shared" si="10"/>
        <v>45942</v>
      </c>
      <c r="D150" t="s">
        <v>69</v>
      </c>
      <c r="E150" t="str">
        <v>Yogyakarta</v>
      </c>
      <c r="F150" t="s">
        <v>80</v>
      </c>
      <c r="G150" t="s">
        <v>31</v>
      </c>
      <c r="H150" t="str">
        <v>Product Photoshoot</v>
      </c>
      <c r="I150" t="s">
        <v>22</v>
      </c>
      <c r="J150" t="str">
        <v>Whatsapp</v>
      </c>
      <c r="K150" t="s">
        <v>71</v>
      </c>
      <c r="L150">
        <v>2</v>
      </c>
      <c r="M150">
        <v>2</v>
      </c>
      <c r="N150" t="s">
        <v>32</v>
      </c>
      <c r="O150" s="7">
        <v>480000</v>
      </c>
      <c r="P150" s="7">
        <v>0</v>
      </c>
      <c r="Q150" s="7">
        <v>480000</v>
      </c>
      <c r="R150" s="7">
        <f t="shared" si="11"/>
        <v>480000</v>
      </c>
      <c r="S150" t="s">
        <v>25</v>
      </c>
      <c r="T150" t="str">
        <f t="shared" si="12"/>
        <v>Transfer</v>
      </c>
      <c r="U150" t="s">
        <v>26</v>
      </c>
      <c r="V150">
        <v>4</v>
      </c>
      <c r="W150">
        <f t="shared" si="13"/>
        <v>4</v>
      </c>
      <c r="Y150" t="str">
        <f t="shared" si="14"/>
        <v>Not Provided</v>
      </c>
      <c r="Z150" t="s">
        <v>27</v>
      </c>
      <c r="AC150" t="str">
        <f>IF(COUNTIF($A:$A,A150)&gt;1,"Duplicate","Unique")</f>
        <v>Unique</v>
      </c>
    </row>
    <row r="151" spans="1:29" x14ac:dyDescent="0.35">
      <c r="A151" t="s">
        <v>283</v>
      </c>
      <c r="B151" s="2">
        <v>45854</v>
      </c>
      <c r="C151" s="9">
        <f t="shared" si="10"/>
        <v>45854</v>
      </c>
      <c r="D151" t="s">
        <v>63</v>
      </c>
      <c r="E151" t="str">
        <v>Yogyakarta</v>
      </c>
      <c r="F151" t="s">
        <v>80</v>
      </c>
      <c r="G151" t="s">
        <v>90</v>
      </c>
      <c r="H151" t="str">
        <v>Voice Over</v>
      </c>
      <c r="I151" t="s">
        <v>54</v>
      </c>
      <c r="J151" t="str">
        <v>Referral</v>
      </c>
      <c r="K151" t="s">
        <v>47</v>
      </c>
      <c r="L151">
        <v>2</v>
      </c>
      <c r="M151">
        <v>2</v>
      </c>
      <c r="N151" t="s">
        <v>32</v>
      </c>
      <c r="O151" s="7">
        <v>480000</v>
      </c>
      <c r="P151" s="7">
        <v>0</v>
      </c>
      <c r="Q151" s="7">
        <v>480000</v>
      </c>
      <c r="R151" s="7">
        <f t="shared" si="11"/>
        <v>480000</v>
      </c>
      <c r="S151" t="s">
        <v>78</v>
      </c>
      <c r="T151" t="str">
        <f t="shared" si="12"/>
        <v>Cash</v>
      </c>
      <c r="U151" t="s">
        <v>34</v>
      </c>
      <c r="V151">
        <v>4</v>
      </c>
      <c r="W151">
        <f t="shared" si="13"/>
        <v>4</v>
      </c>
      <c r="Y151" t="str">
        <f t="shared" si="14"/>
        <v/>
      </c>
      <c r="Z151" t="s">
        <v>72</v>
      </c>
      <c r="AC151" t="str">
        <f>IF(COUNTIF($A:$A,A151)&gt;1,"Duplicate","Unique")</f>
        <v>Unique</v>
      </c>
    </row>
    <row r="152" spans="1:29" x14ac:dyDescent="0.35">
      <c r="A152" t="s">
        <v>284</v>
      </c>
      <c r="B152" t="s">
        <v>285</v>
      </c>
      <c r="C152" s="9">
        <f t="shared" si="10"/>
        <v>45774</v>
      </c>
      <c r="D152" t="s">
        <v>37</v>
      </c>
      <c r="E152" t="str">
        <v>Bandung</v>
      </c>
      <c r="F152" t="s">
        <v>59</v>
      </c>
      <c r="G152" t="s">
        <v>21</v>
      </c>
      <c r="H152" t="str">
        <v>Content Batch</v>
      </c>
      <c r="I152" t="s">
        <v>74</v>
      </c>
      <c r="J152" t="str">
        <v>Referral</v>
      </c>
      <c r="K152" t="s">
        <v>40</v>
      </c>
      <c r="L152">
        <v>3</v>
      </c>
      <c r="M152">
        <v>3</v>
      </c>
      <c r="N152" t="s">
        <v>24</v>
      </c>
      <c r="O152" s="7">
        <v>420000</v>
      </c>
      <c r="P152" s="7">
        <v>0</v>
      </c>
      <c r="Q152" s="7">
        <v>420000</v>
      </c>
      <c r="R152" s="7">
        <f t="shared" si="11"/>
        <v>420000</v>
      </c>
      <c r="S152" t="s">
        <v>78</v>
      </c>
      <c r="T152" t="str">
        <f t="shared" si="12"/>
        <v>Cash</v>
      </c>
      <c r="U152" t="s">
        <v>56</v>
      </c>
      <c r="V152">
        <v>4</v>
      </c>
      <c r="W152">
        <f t="shared" si="13"/>
        <v>4</v>
      </c>
      <c r="Y152" t="str">
        <f t="shared" si="14"/>
        <v/>
      </c>
      <c r="Z152" t="s">
        <v>48</v>
      </c>
      <c r="AC152" t="str">
        <f>IF(COUNTIF($A:$A,A152)&gt;1,"Duplicate","Unique")</f>
        <v>Unique</v>
      </c>
    </row>
    <row r="153" spans="1:29" x14ac:dyDescent="0.35">
      <c r="A153" t="s">
        <v>286</v>
      </c>
      <c r="B153" s="2">
        <v>45949</v>
      </c>
      <c r="C153" s="9">
        <f t="shared" si="10"/>
        <v>45949</v>
      </c>
      <c r="D153" t="s">
        <v>58</v>
      </c>
      <c r="E153" t="str">
        <v>Jakarta</v>
      </c>
      <c r="F153" t="s">
        <v>46</v>
      </c>
      <c r="G153" t="s">
        <v>103</v>
      </c>
      <c r="H153" t="str">
        <v>Video Podcast</v>
      </c>
      <c r="I153" t="s">
        <v>39</v>
      </c>
      <c r="J153" t="str">
        <v>Website</v>
      </c>
      <c r="K153" t="s">
        <v>47</v>
      </c>
      <c r="L153">
        <v>1</v>
      </c>
      <c r="M153">
        <v>1</v>
      </c>
      <c r="N153" t="s">
        <v>55</v>
      </c>
      <c r="O153" s="7">
        <v>250000</v>
      </c>
      <c r="P153" s="7">
        <v>0</v>
      </c>
      <c r="Q153" s="7">
        <v>250000</v>
      </c>
      <c r="R153" s="7">
        <f t="shared" si="11"/>
        <v>250000</v>
      </c>
      <c r="S153" t="s">
        <v>78</v>
      </c>
      <c r="T153" t="str">
        <f t="shared" si="12"/>
        <v>Cash</v>
      </c>
      <c r="U153" t="s">
        <v>34</v>
      </c>
      <c r="V153">
        <v>4</v>
      </c>
      <c r="W153">
        <f t="shared" si="13"/>
        <v>4</v>
      </c>
      <c r="Y153" t="str">
        <f t="shared" si="14"/>
        <v/>
      </c>
      <c r="Z153" t="s">
        <v>27</v>
      </c>
      <c r="AA153" t="s">
        <v>35</v>
      </c>
      <c r="AC153" t="str">
        <f>IF(COUNTIF($A:$A,A153)&gt;1,"Duplicate","Unique")</f>
        <v>Unique</v>
      </c>
    </row>
    <row r="154" spans="1:29" x14ac:dyDescent="0.35">
      <c r="A154" t="s">
        <v>287</v>
      </c>
      <c r="B154" t="s">
        <v>288</v>
      </c>
      <c r="C154" s="9">
        <f t="shared" si="10"/>
        <v>45741</v>
      </c>
      <c r="D154" t="s">
        <v>53</v>
      </c>
      <c r="E154" t="str">
        <v>Surabaya</v>
      </c>
      <c r="F154" t="s">
        <v>20</v>
      </c>
      <c r="G154" t="s">
        <v>182</v>
      </c>
      <c r="H154" t="str">
        <v>Product Photoshoot</v>
      </c>
      <c r="I154" t="s">
        <v>84</v>
      </c>
      <c r="J154" t="str">
        <v>Instagram</v>
      </c>
      <c r="K154" t="s">
        <v>66</v>
      </c>
      <c r="L154">
        <v>4</v>
      </c>
      <c r="M154">
        <v>4</v>
      </c>
      <c r="N154" t="s">
        <v>55</v>
      </c>
      <c r="O154" s="7">
        <v>640000</v>
      </c>
      <c r="P154" s="7">
        <v>0</v>
      </c>
      <c r="Q154" s="7">
        <v>640000</v>
      </c>
      <c r="R154" s="7">
        <f t="shared" si="11"/>
        <v>640000</v>
      </c>
      <c r="T154" t="str">
        <f t="shared" si="12"/>
        <v/>
      </c>
      <c r="U154" t="s">
        <v>56</v>
      </c>
      <c r="V154">
        <v>5</v>
      </c>
      <c r="W154">
        <f t="shared" si="13"/>
        <v>5</v>
      </c>
      <c r="Y154" t="str">
        <f t="shared" si="14"/>
        <v/>
      </c>
      <c r="Z154" t="s">
        <v>48</v>
      </c>
      <c r="AC154" t="str">
        <f>IF(COUNTIF($A:$A,A154)&gt;1,"Duplicate","Unique")</f>
        <v>Unique</v>
      </c>
    </row>
    <row r="155" spans="1:29" x14ac:dyDescent="0.35">
      <c r="A155" t="s">
        <v>289</v>
      </c>
      <c r="B155" s="2">
        <v>45662</v>
      </c>
      <c r="C155" s="9">
        <f t="shared" si="10"/>
        <v>45662</v>
      </c>
      <c r="D155" t="s">
        <v>37</v>
      </c>
      <c r="E155" t="str">
        <v>Bandung</v>
      </c>
      <c r="F155" t="s">
        <v>59</v>
      </c>
      <c r="G155" t="s">
        <v>90</v>
      </c>
      <c r="H155" t="str">
        <v>Voice Over</v>
      </c>
      <c r="I155" t="s">
        <v>22</v>
      </c>
      <c r="J155" t="str">
        <v>Whatsapp</v>
      </c>
      <c r="K155" t="s">
        <v>40</v>
      </c>
      <c r="L155">
        <v>2</v>
      </c>
      <c r="M155">
        <v>2</v>
      </c>
      <c r="N155" t="s">
        <v>41</v>
      </c>
      <c r="O155" s="7">
        <v>350000</v>
      </c>
      <c r="P155" s="7">
        <v>0</v>
      </c>
      <c r="Q155" s="7">
        <v>350000</v>
      </c>
      <c r="R155" s="7">
        <f t="shared" si="11"/>
        <v>350000</v>
      </c>
      <c r="S155" t="s">
        <v>78</v>
      </c>
      <c r="T155" t="str">
        <f t="shared" si="12"/>
        <v>Cash</v>
      </c>
      <c r="U155" t="s">
        <v>34</v>
      </c>
      <c r="V155">
        <v>4</v>
      </c>
      <c r="W155">
        <f t="shared" si="13"/>
        <v>4</v>
      </c>
      <c r="Y155" t="str">
        <f t="shared" si="14"/>
        <v/>
      </c>
      <c r="Z155" t="s">
        <v>27</v>
      </c>
      <c r="AC155" t="str">
        <f>IF(COUNTIF($A:$A,A155)&gt;1,"Duplicate","Unique")</f>
        <v>Unique</v>
      </c>
    </row>
    <row r="156" spans="1:29" x14ac:dyDescent="0.35">
      <c r="A156" t="s">
        <v>290</v>
      </c>
      <c r="B156" s="2">
        <v>46008</v>
      </c>
      <c r="C156" s="9">
        <f t="shared" si="10"/>
        <v>46008</v>
      </c>
      <c r="D156" t="s">
        <v>58</v>
      </c>
      <c r="E156" t="str">
        <v>Jakarta</v>
      </c>
      <c r="F156" t="s">
        <v>30</v>
      </c>
      <c r="G156" t="s">
        <v>38</v>
      </c>
      <c r="H156" t="str">
        <v>Podcast Recording</v>
      </c>
      <c r="I156" t="s">
        <v>22</v>
      </c>
      <c r="J156" t="str">
        <v>Whatsapp</v>
      </c>
      <c r="K156" t="s">
        <v>40</v>
      </c>
      <c r="L156">
        <v>3</v>
      </c>
      <c r="M156">
        <v>3</v>
      </c>
      <c r="N156" t="s">
        <v>41</v>
      </c>
      <c r="O156" s="7">
        <v>480000</v>
      </c>
      <c r="P156" s="7">
        <v>0</v>
      </c>
      <c r="Q156" s="7">
        <v>480000</v>
      </c>
      <c r="R156" s="7">
        <f t="shared" si="11"/>
        <v>480000</v>
      </c>
      <c r="S156" t="s">
        <v>33</v>
      </c>
      <c r="T156" t="str">
        <f t="shared" si="12"/>
        <v>Virtual Account</v>
      </c>
      <c r="U156" t="s">
        <v>34</v>
      </c>
      <c r="V156">
        <v>4</v>
      </c>
      <c r="W156">
        <f t="shared" si="13"/>
        <v>4</v>
      </c>
      <c r="Y156" t="str">
        <f t="shared" si="14"/>
        <v/>
      </c>
      <c r="Z156" t="s">
        <v>27</v>
      </c>
      <c r="AA156" t="s">
        <v>49</v>
      </c>
      <c r="AC156" t="str">
        <f>IF(COUNTIF($A:$A,A156)&gt;1,"Duplicate","Unique")</f>
        <v>Unique</v>
      </c>
    </row>
    <row r="157" spans="1:29" x14ac:dyDescent="0.35">
      <c r="A157" t="s">
        <v>291</v>
      </c>
      <c r="B157" s="2">
        <v>45872</v>
      </c>
      <c r="C157" s="9">
        <f t="shared" si="10"/>
        <v>45872</v>
      </c>
      <c r="D157" t="s">
        <v>69</v>
      </c>
      <c r="E157" t="str">
        <v>Yogyakarta</v>
      </c>
      <c r="F157" t="s">
        <v>30</v>
      </c>
      <c r="G157" t="s">
        <v>21</v>
      </c>
      <c r="H157" t="str">
        <v>Content Batch</v>
      </c>
      <c r="I157" t="s">
        <v>84</v>
      </c>
      <c r="J157" t="str">
        <v>Instagram</v>
      </c>
      <c r="K157" t="s">
        <v>71</v>
      </c>
      <c r="L157" t="s">
        <v>124</v>
      </c>
      <c r="M157">
        <v>3</v>
      </c>
      <c r="N157" t="s">
        <v>55</v>
      </c>
      <c r="O157" s="7">
        <v>600000</v>
      </c>
      <c r="P157" s="7">
        <v>90000</v>
      </c>
      <c r="Q157" s="7">
        <v>510000</v>
      </c>
      <c r="R157" s="7">
        <f t="shared" si="11"/>
        <v>510000</v>
      </c>
      <c r="S157" t="s">
        <v>42</v>
      </c>
      <c r="T157" t="str">
        <f t="shared" si="12"/>
        <v>E-Wallet</v>
      </c>
      <c r="U157" t="s">
        <v>34</v>
      </c>
      <c r="V157">
        <v>5</v>
      </c>
      <c r="W157">
        <f t="shared" si="13"/>
        <v>5</v>
      </c>
      <c r="Y157" t="str">
        <f t="shared" si="14"/>
        <v/>
      </c>
      <c r="Z157" t="s">
        <v>27</v>
      </c>
      <c r="AA157" t="s">
        <v>94</v>
      </c>
      <c r="AC157" t="str">
        <f>IF(COUNTIF($A:$A,A157)&gt;1,"Duplicate","Unique")</f>
        <v>Unique</v>
      </c>
    </row>
    <row r="158" spans="1:29" x14ac:dyDescent="0.35">
      <c r="A158" t="s">
        <v>292</v>
      </c>
      <c r="B158" t="s">
        <v>293</v>
      </c>
      <c r="C158" s="9">
        <f t="shared" si="10"/>
        <v>45944</v>
      </c>
      <c r="D158" t="s">
        <v>37</v>
      </c>
      <c r="E158" t="str">
        <v>Bandung</v>
      </c>
      <c r="F158" t="s">
        <v>59</v>
      </c>
      <c r="G158" t="s">
        <v>21</v>
      </c>
      <c r="H158" t="str">
        <v>Content Batch</v>
      </c>
      <c r="I158" t="s">
        <v>84</v>
      </c>
      <c r="J158" t="str">
        <v>Instagram</v>
      </c>
      <c r="K158" t="s">
        <v>23</v>
      </c>
      <c r="L158">
        <v>4</v>
      </c>
      <c r="M158">
        <v>4</v>
      </c>
      <c r="N158" t="s">
        <v>41</v>
      </c>
      <c r="O158" s="7">
        <v>700000</v>
      </c>
      <c r="P158" s="7">
        <v>0</v>
      </c>
      <c r="Q158" s="7">
        <v>700000</v>
      </c>
      <c r="R158" s="7">
        <f t="shared" si="11"/>
        <v>700000</v>
      </c>
      <c r="S158" t="s">
        <v>33</v>
      </c>
      <c r="T158" t="str">
        <f t="shared" si="12"/>
        <v>Virtual Account</v>
      </c>
      <c r="U158" t="s">
        <v>34</v>
      </c>
      <c r="V158">
        <v>4</v>
      </c>
      <c r="W158">
        <f t="shared" si="13"/>
        <v>4</v>
      </c>
      <c r="Y158" t="str">
        <f t="shared" si="14"/>
        <v/>
      </c>
      <c r="Z158" t="s">
        <v>43</v>
      </c>
      <c r="AA158" t="s">
        <v>49</v>
      </c>
      <c r="AC158" t="str">
        <f>IF(COUNTIF($A:$A,A158)&gt;1,"Duplicate","Unique")</f>
        <v>Unique</v>
      </c>
    </row>
    <row r="159" spans="1:29" x14ac:dyDescent="0.35">
      <c r="A159" t="s">
        <v>294</v>
      </c>
      <c r="B159" t="s">
        <v>213</v>
      </c>
      <c r="C159" s="9">
        <f t="shared" si="10"/>
        <v>45929</v>
      </c>
      <c r="D159" t="s">
        <v>53</v>
      </c>
      <c r="E159" t="str">
        <v>Surabaya</v>
      </c>
      <c r="F159" t="s">
        <v>30</v>
      </c>
      <c r="G159" t="s">
        <v>38</v>
      </c>
      <c r="H159" t="str">
        <v>Podcast Recording</v>
      </c>
      <c r="I159" t="s">
        <v>39</v>
      </c>
      <c r="J159" t="str">
        <v>Website</v>
      </c>
      <c r="K159" t="s">
        <v>23</v>
      </c>
      <c r="L159">
        <v>2</v>
      </c>
      <c r="M159">
        <v>2</v>
      </c>
      <c r="N159" t="s">
        <v>32</v>
      </c>
      <c r="O159" s="7">
        <v>350000</v>
      </c>
      <c r="P159" s="7">
        <v>0</v>
      </c>
      <c r="Q159" s="7">
        <v>350000</v>
      </c>
      <c r="R159" s="7">
        <f t="shared" si="11"/>
        <v>350000</v>
      </c>
      <c r="S159" t="s">
        <v>33</v>
      </c>
      <c r="T159" t="str">
        <f t="shared" si="12"/>
        <v>Virtual Account</v>
      </c>
      <c r="U159" t="s">
        <v>34</v>
      </c>
      <c r="V159">
        <v>4</v>
      </c>
      <c r="W159">
        <f t="shared" si="13"/>
        <v>4</v>
      </c>
      <c r="Y159" t="str">
        <f t="shared" si="14"/>
        <v/>
      </c>
      <c r="Z159" t="s">
        <v>60</v>
      </c>
      <c r="AA159" t="s">
        <v>35</v>
      </c>
      <c r="AC159" t="str">
        <f>IF(COUNTIF($A:$A,A159)&gt;1,"Duplicate","Unique")</f>
        <v>Unique</v>
      </c>
    </row>
    <row r="160" spans="1:29" x14ac:dyDescent="0.35">
      <c r="A160" t="s">
        <v>295</v>
      </c>
      <c r="B160" t="s">
        <v>194</v>
      </c>
      <c r="C160" s="9">
        <f t="shared" si="10"/>
        <v>45953</v>
      </c>
      <c r="D160" t="s">
        <v>37</v>
      </c>
      <c r="E160" t="str">
        <v>Bandung</v>
      </c>
      <c r="F160" t="s">
        <v>30</v>
      </c>
      <c r="G160" t="s">
        <v>38</v>
      </c>
      <c r="H160" t="str">
        <v>Podcast Recording</v>
      </c>
      <c r="I160" t="s">
        <v>39</v>
      </c>
      <c r="J160" t="str">
        <v>Website</v>
      </c>
      <c r="K160" t="s">
        <v>71</v>
      </c>
      <c r="L160" t="s">
        <v>104</v>
      </c>
      <c r="M160">
        <v>2</v>
      </c>
      <c r="N160" t="s">
        <v>32</v>
      </c>
      <c r="O160" s="7">
        <v>350000</v>
      </c>
      <c r="P160" s="7">
        <v>17500</v>
      </c>
      <c r="Q160" s="7">
        <v>332500</v>
      </c>
      <c r="R160" s="7">
        <f t="shared" si="11"/>
        <v>332500</v>
      </c>
      <c r="S160" t="s">
        <v>78</v>
      </c>
      <c r="T160" t="str">
        <f t="shared" si="12"/>
        <v>Cash</v>
      </c>
      <c r="U160" t="s">
        <v>34</v>
      </c>
      <c r="V160">
        <v>3</v>
      </c>
      <c r="W160">
        <f t="shared" si="13"/>
        <v>3</v>
      </c>
      <c r="Y160" t="str">
        <f t="shared" si="14"/>
        <v/>
      </c>
      <c r="Z160" t="s">
        <v>60</v>
      </c>
      <c r="AC160" t="str">
        <f>IF(COUNTIF($A:$A,A160)&gt;1,"Duplicate","Unique")</f>
        <v>Unique</v>
      </c>
    </row>
    <row r="161" spans="1:29" x14ac:dyDescent="0.35">
      <c r="A161" t="s">
        <v>296</v>
      </c>
      <c r="B161" s="2">
        <v>46013</v>
      </c>
      <c r="C161" s="9">
        <f t="shared" si="10"/>
        <v>46013</v>
      </c>
      <c r="D161" t="s">
        <v>53</v>
      </c>
      <c r="E161" t="str">
        <v>Surabaya</v>
      </c>
      <c r="F161" t="s">
        <v>59</v>
      </c>
      <c r="G161" t="s">
        <v>103</v>
      </c>
      <c r="H161" t="str">
        <v>Video Podcast</v>
      </c>
      <c r="I161" t="s">
        <v>84</v>
      </c>
      <c r="J161" t="str">
        <v>Instagram</v>
      </c>
      <c r="K161" t="s">
        <v>66</v>
      </c>
      <c r="L161">
        <v>1</v>
      </c>
      <c r="M161">
        <v>1</v>
      </c>
      <c r="N161" t="s">
        <v>24</v>
      </c>
      <c r="O161" s="7">
        <v>140000</v>
      </c>
      <c r="P161" s="7">
        <v>0</v>
      </c>
      <c r="Q161" s="7">
        <v>140000</v>
      </c>
      <c r="R161" s="7">
        <f t="shared" si="11"/>
        <v>140000</v>
      </c>
      <c r="S161" t="s">
        <v>33</v>
      </c>
      <c r="T161" t="str">
        <f t="shared" si="12"/>
        <v>Virtual Account</v>
      </c>
      <c r="U161" t="s">
        <v>34</v>
      </c>
      <c r="V161">
        <v>4</v>
      </c>
      <c r="W161">
        <f t="shared" si="13"/>
        <v>4</v>
      </c>
      <c r="Y161" t="str">
        <f t="shared" si="14"/>
        <v/>
      </c>
      <c r="Z161" t="s">
        <v>43</v>
      </c>
      <c r="AA161" t="s">
        <v>96</v>
      </c>
      <c r="AC161" t="str">
        <f>IF(COUNTIF($A:$A,A161)&gt;1,"Duplicate","Unique")</f>
        <v>Unique</v>
      </c>
    </row>
    <row r="162" spans="1:29" x14ac:dyDescent="0.35">
      <c r="A162" t="s">
        <v>297</v>
      </c>
      <c r="B162" t="s">
        <v>298</v>
      </c>
      <c r="C162" s="9">
        <f t="shared" si="10"/>
        <v>45667</v>
      </c>
      <c r="D162" t="s">
        <v>37</v>
      </c>
      <c r="E162" t="str">
        <v>Bandung</v>
      </c>
      <c r="F162" t="s">
        <v>46</v>
      </c>
      <c r="G162" t="s">
        <v>222</v>
      </c>
      <c r="H162" t="str">
        <v>Content Batch</v>
      </c>
      <c r="I162" t="s">
        <v>39</v>
      </c>
      <c r="J162" t="str">
        <v>Website</v>
      </c>
      <c r="K162" t="s">
        <v>23</v>
      </c>
      <c r="L162" t="s">
        <v>88</v>
      </c>
      <c r="M162">
        <v>1</v>
      </c>
      <c r="N162" t="s">
        <v>24</v>
      </c>
      <c r="O162" s="7">
        <v>175000</v>
      </c>
      <c r="P162" s="7">
        <v>8750</v>
      </c>
      <c r="Q162" s="7">
        <v>166250</v>
      </c>
      <c r="R162" s="7">
        <f t="shared" si="11"/>
        <v>166250</v>
      </c>
      <c r="S162" t="s">
        <v>42</v>
      </c>
      <c r="T162" t="str">
        <f t="shared" si="12"/>
        <v>E-Wallet</v>
      </c>
      <c r="U162" t="s">
        <v>34</v>
      </c>
      <c r="V162">
        <v>5</v>
      </c>
      <c r="W162">
        <f t="shared" si="13"/>
        <v>5</v>
      </c>
      <c r="Y162" t="str">
        <f t="shared" si="14"/>
        <v/>
      </c>
      <c r="Z162" t="s">
        <v>72</v>
      </c>
      <c r="AC162" t="str">
        <f>IF(COUNTIF($A:$A,A162)&gt;1,"Duplicate","Unique")</f>
        <v>Unique</v>
      </c>
    </row>
    <row r="163" spans="1:29" x14ac:dyDescent="0.35">
      <c r="A163" t="s">
        <v>299</v>
      </c>
      <c r="B163" s="2">
        <v>45938</v>
      </c>
      <c r="C163" s="9">
        <f t="shared" si="10"/>
        <v>45938</v>
      </c>
      <c r="D163" t="s">
        <v>53</v>
      </c>
      <c r="E163" t="str">
        <v>Surabaya</v>
      </c>
      <c r="F163" t="s">
        <v>30</v>
      </c>
      <c r="G163" t="s">
        <v>21</v>
      </c>
      <c r="H163" t="str">
        <v>Content Batch</v>
      </c>
      <c r="I163" t="s">
        <v>39</v>
      </c>
      <c r="J163" t="str">
        <v>Website</v>
      </c>
      <c r="K163" t="s">
        <v>23</v>
      </c>
      <c r="L163">
        <v>2</v>
      </c>
      <c r="M163">
        <v>2</v>
      </c>
      <c r="N163" t="s">
        <v>24</v>
      </c>
      <c r="O163" s="7">
        <v>250000</v>
      </c>
      <c r="P163" s="7">
        <v>37500</v>
      </c>
      <c r="Q163" s="7">
        <v>212500</v>
      </c>
      <c r="R163" s="7">
        <f t="shared" si="11"/>
        <v>212500</v>
      </c>
      <c r="S163" t="s">
        <v>25</v>
      </c>
      <c r="T163" t="str">
        <f t="shared" si="12"/>
        <v>Transfer</v>
      </c>
      <c r="U163" t="s">
        <v>34</v>
      </c>
      <c r="V163">
        <v>5</v>
      </c>
      <c r="W163">
        <f t="shared" si="13"/>
        <v>5</v>
      </c>
      <c r="Y163" t="str">
        <f t="shared" si="14"/>
        <v/>
      </c>
      <c r="Z163" t="s">
        <v>27</v>
      </c>
      <c r="AC163" t="str">
        <f>IF(COUNTIF($A:$A,A163)&gt;1,"Duplicate","Unique")</f>
        <v>Unique</v>
      </c>
    </row>
    <row r="164" spans="1:29" x14ac:dyDescent="0.35">
      <c r="A164" t="s">
        <v>300</v>
      </c>
      <c r="B164" s="2">
        <v>45925</v>
      </c>
      <c r="C164" s="9">
        <f t="shared" si="10"/>
        <v>45925</v>
      </c>
      <c r="D164" t="s">
        <v>178</v>
      </c>
      <c r="E164" t="str">
        <v>Bandung</v>
      </c>
      <c r="F164" t="s">
        <v>59</v>
      </c>
      <c r="G164" t="s">
        <v>222</v>
      </c>
      <c r="H164" t="str">
        <v>Content Batch</v>
      </c>
      <c r="I164" t="s">
        <v>54</v>
      </c>
      <c r="J164" t="str">
        <v>Referral</v>
      </c>
      <c r="K164" t="s">
        <v>40</v>
      </c>
      <c r="L164">
        <v>3</v>
      </c>
      <c r="M164">
        <v>3</v>
      </c>
      <c r="N164" t="s">
        <v>32</v>
      </c>
      <c r="O164" s="7">
        <v>570000</v>
      </c>
      <c r="P164" s="7">
        <v>0</v>
      </c>
      <c r="Q164" s="7">
        <v>570000</v>
      </c>
      <c r="R164" s="7">
        <f t="shared" si="11"/>
        <v>570000</v>
      </c>
      <c r="S164" t="s">
        <v>78</v>
      </c>
      <c r="T164" t="str">
        <f t="shared" si="12"/>
        <v>Cash</v>
      </c>
      <c r="U164" t="s">
        <v>34</v>
      </c>
      <c r="V164">
        <v>4</v>
      </c>
      <c r="W164">
        <f t="shared" si="13"/>
        <v>4</v>
      </c>
      <c r="Y164" t="str">
        <f t="shared" si="14"/>
        <v/>
      </c>
      <c r="Z164" t="s">
        <v>72</v>
      </c>
      <c r="AC164" t="str">
        <f>IF(COUNTIF($A:$A,A164)&gt;1,"Duplicate","Unique")</f>
        <v>Unique</v>
      </c>
    </row>
    <row r="165" spans="1:29" x14ac:dyDescent="0.35">
      <c r="A165" t="s">
        <v>301</v>
      </c>
      <c r="B165" t="s">
        <v>302</v>
      </c>
      <c r="C165" s="9">
        <f t="shared" si="10"/>
        <v>45709</v>
      </c>
      <c r="D165" t="s">
        <v>53</v>
      </c>
      <c r="E165" t="str">
        <v>Surabaya</v>
      </c>
      <c r="F165" t="s">
        <v>46</v>
      </c>
      <c r="G165" t="s">
        <v>99</v>
      </c>
      <c r="H165" t="str">
        <v>Live Streaming</v>
      </c>
      <c r="I165" t="s">
        <v>92</v>
      </c>
      <c r="J165" t="str">
        <v>Whatsapp</v>
      </c>
      <c r="K165" t="s">
        <v>40</v>
      </c>
      <c r="L165">
        <v>4</v>
      </c>
      <c r="M165">
        <v>4</v>
      </c>
      <c r="N165" t="s">
        <v>24</v>
      </c>
      <c r="O165" s="7">
        <v>700000</v>
      </c>
      <c r="P165" s="7">
        <v>0</v>
      </c>
      <c r="Q165" s="7">
        <v>700000</v>
      </c>
      <c r="R165" s="7">
        <f t="shared" si="11"/>
        <v>700000</v>
      </c>
      <c r="S165" t="s">
        <v>25</v>
      </c>
      <c r="T165" t="str">
        <f t="shared" si="12"/>
        <v>Transfer</v>
      </c>
      <c r="U165" t="s">
        <v>34</v>
      </c>
      <c r="V165">
        <v>4</v>
      </c>
      <c r="W165">
        <f t="shared" si="13"/>
        <v>4</v>
      </c>
      <c r="Y165" t="str">
        <f t="shared" si="14"/>
        <v/>
      </c>
      <c r="Z165" t="s">
        <v>43</v>
      </c>
      <c r="AA165" t="s">
        <v>35</v>
      </c>
      <c r="AC165" t="str">
        <f>IF(COUNTIF($A:$A,A165)&gt;1,"Duplicate","Unique")</f>
        <v>Unique</v>
      </c>
    </row>
    <row r="166" spans="1:29" x14ac:dyDescent="0.35">
      <c r="A166" t="s">
        <v>303</v>
      </c>
      <c r="B166" s="2">
        <v>45976</v>
      </c>
      <c r="C166" s="9">
        <f t="shared" si="10"/>
        <v>45976</v>
      </c>
      <c r="D166" t="s">
        <v>53</v>
      </c>
      <c r="E166" t="str">
        <v>Surabaya</v>
      </c>
      <c r="F166" t="s">
        <v>20</v>
      </c>
      <c r="G166" t="s">
        <v>31</v>
      </c>
      <c r="H166" t="str">
        <v>Product Photoshoot</v>
      </c>
      <c r="I166" t="s">
        <v>92</v>
      </c>
      <c r="J166" t="str">
        <v>Whatsapp</v>
      </c>
      <c r="K166" t="s">
        <v>23</v>
      </c>
      <c r="L166">
        <v>1</v>
      </c>
      <c r="M166">
        <v>1</v>
      </c>
      <c r="N166" t="s">
        <v>32</v>
      </c>
      <c r="O166" s="7">
        <v>135000</v>
      </c>
      <c r="P166" s="7">
        <v>20250</v>
      </c>
      <c r="Q166" s="7">
        <v>114750</v>
      </c>
      <c r="R166" s="7">
        <f t="shared" si="11"/>
        <v>114750</v>
      </c>
      <c r="S166" t="s">
        <v>78</v>
      </c>
      <c r="T166" t="str">
        <f t="shared" si="12"/>
        <v>Cash</v>
      </c>
      <c r="U166" t="s">
        <v>34</v>
      </c>
      <c r="W166" t="str">
        <f t="shared" si="13"/>
        <v/>
      </c>
      <c r="Y166" t="str">
        <f t="shared" si="14"/>
        <v/>
      </c>
      <c r="Z166" t="s">
        <v>48</v>
      </c>
      <c r="AA166" t="s">
        <v>96</v>
      </c>
      <c r="AC166" t="str">
        <f>IF(COUNTIF($A:$A,A166)&gt;1,"Duplicate","Unique")</f>
        <v>Unique</v>
      </c>
    </row>
    <row r="167" spans="1:29" x14ac:dyDescent="0.35">
      <c r="A167" t="s">
        <v>304</v>
      </c>
      <c r="B167" s="2">
        <v>46005</v>
      </c>
      <c r="C167" s="9">
        <f t="shared" si="10"/>
        <v>46005</v>
      </c>
      <c r="D167" t="s">
        <v>123</v>
      </c>
      <c r="E167" t="str">
        <v>Yogyakarta</v>
      </c>
      <c r="F167" t="s">
        <v>46</v>
      </c>
      <c r="G167" t="s">
        <v>70</v>
      </c>
      <c r="H167" t="str">
        <v>Voice Over</v>
      </c>
      <c r="I167" t="s">
        <v>54</v>
      </c>
      <c r="J167" t="str">
        <v>Referral</v>
      </c>
      <c r="K167" t="s">
        <v>40</v>
      </c>
      <c r="L167">
        <v>2</v>
      </c>
      <c r="M167">
        <v>2</v>
      </c>
      <c r="N167" t="s">
        <v>24</v>
      </c>
      <c r="O167" s="7">
        <v>350000</v>
      </c>
      <c r="P167" s="7">
        <v>17500</v>
      </c>
      <c r="Q167" s="7">
        <v>332500</v>
      </c>
      <c r="R167" s="7">
        <f t="shared" si="11"/>
        <v>332500</v>
      </c>
      <c r="S167" t="s">
        <v>42</v>
      </c>
      <c r="T167" t="str">
        <f t="shared" si="12"/>
        <v>E-Wallet</v>
      </c>
      <c r="U167" t="s">
        <v>34</v>
      </c>
      <c r="V167">
        <v>4</v>
      </c>
      <c r="W167">
        <f t="shared" si="13"/>
        <v>4</v>
      </c>
      <c r="Y167" t="str">
        <f t="shared" si="14"/>
        <v/>
      </c>
      <c r="Z167" t="s">
        <v>27</v>
      </c>
      <c r="AC167" t="str">
        <f>IF(COUNTIF($A:$A,A167)&gt;1,"Duplicate","Unique")</f>
        <v>Unique</v>
      </c>
    </row>
    <row r="168" spans="1:29" x14ac:dyDescent="0.35">
      <c r="A168" t="s">
        <v>305</v>
      </c>
      <c r="B168" s="2">
        <v>45923</v>
      </c>
      <c r="C168" s="9">
        <f t="shared" si="10"/>
        <v>45923</v>
      </c>
      <c r="D168" t="s">
        <v>45</v>
      </c>
      <c r="E168" t="str">
        <v>Malang</v>
      </c>
      <c r="F168" t="s">
        <v>80</v>
      </c>
      <c r="G168" t="s">
        <v>38</v>
      </c>
      <c r="H168" t="str">
        <v>Podcast Recording</v>
      </c>
      <c r="I168" t="s">
        <v>54</v>
      </c>
      <c r="J168" t="str">
        <v>Referral</v>
      </c>
      <c r="K168" t="s">
        <v>23</v>
      </c>
      <c r="L168">
        <v>4</v>
      </c>
      <c r="M168">
        <v>4</v>
      </c>
      <c r="N168" t="s">
        <v>24</v>
      </c>
      <c r="O168" s="7">
        <v>760000</v>
      </c>
      <c r="P168" s="7">
        <v>0</v>
      </c>
      <c r="Q168" s="7">
        <v>760000</v>
      </c>
      <c r="R168" s="7">
        <f t="shared" si="11"/>
        <v>760000</v>
      </c>
      <c r="S168" t="s">
        <v>78</v>
      </c>
      <c r="T168" t="str">
        <f t="shared" si="12"/>
        <v>Cash</v>
      </c>
      <c r="U168" t="s">
        <v>34</v>
      </c>
      <c r="V168">
        <v>5</v>
      </c>
      <c r="W168">
        <f t="shared" si="13"/>
        <v>5</v>
      </c>
      <c r="Y168" t="str">
        <f t="shared" si="14"/>
        <v/>
      </c>
      <c r="Z168" t="s">
        <v>43</v>
      </c>
      <c r="AC168" t="str">
        <f>IF(COUNTIF($A:$A,A168)&gt;1,"Duplicate","Unique")</f>
        <v>Unique</v>
      </c>
    </row>
    <row r="169" spans="1:29" x14ac:dyDescent="0.35">
      <c r="A169" t="s">
        <v>306</v>
      </c>
      <c r="B169" s="2">
        <v>45864</v>
      </c>
      <c r="C169" s="9">
        <f t="shared" si="10"/>
        <v>45864</v>
      </c>
      <c r="D169" t="s">
        <v>178</v>
      </c>
      <c r="E169" t="str">
        <v>Bandung</v>
      </c>
      <c r="F169" t="s">
        <v>20</v>
      </c>
      <c r="G169" t="s">
        <v>64</v>
      </c>
      <c r="H169" t="str">
        <v>Live Streaming</v>
      </c>
      <c r="I169" t="s">
        <v>54</v>
      </c>
      <c r="J169" t="str">
        <v>Referral</v>
      </c>
      <c r="K169" t="s">
        <v>71</v>
      </c>
      <c r="L169">
        <v>1</v>
      </c>
      <c r="M169">
        <v>1</v>
      </c>
      <c r="N169" t="s">
        <v>24</v>
      </c>
      <c r="O169" s="7">
        <v>85000</v>
      </c>
      <c r="P169" s="7">
        <v>4250</v>
      </c>
      <c r="Q169" s="7">
        <v>80750</v>
      </c>
      <c r="R169" s="7">
        <f t="shared" si="11"/>
        <v>80750</v>
      </c>
      <c r="S169" t="s">
        <v>78</v>
      </c>
      <c r="T169" t="str">
        <f t="shared" si="12"/>
        <v>Cash</v>
      </c>
      <c r="U169" t="s">
        <v>34</v>
      </c>
      <c r="V169">
        <v>5</v>
      </c>
      <c r="W169">
        <f t="shared" si="13"/>
        <v>5</v>
      </c>
      <c r="Y169" t="str">
        <f t="shared" si="14"/>
        <v/>
      </c>
      <c r="Z169" t="s">
        <v>48</v>
      </c>
      <c r="AA169" t="s">
        <v>94</v>
      </c>
      <c r="AC169" t="str">
        <f>IF(COUNTIF($A:$A,A169)&gt;1,"Duplicate","Unique")</f>
        <v>Unique</v>
      </c>
    </row>
    <row r="170" spans="1:29" x14ac:dyDescent="0.35">
      <c r="A170" t="s">
        <v>307</v>
      </c>
      <c r="B170" s="2">
        <v>45945</v>
      </c>
      <c r="C170" s="9">
        <f t="shared" si="10"/>
        <v>45945</v>
      </c>
      <c r="D170" t="s">
        <v>37</v>
      </c>
      <c r="E170" t="str">
        <v>Bandung</v>
      </c>
      <c r="F170" t="s">
        <v>30</v>
      </c>
      <c r="G170" t="s">
        <v>31</v>
      </c>
      <c r="H170" t="str">
        <v>Product Photoshoot</v>
      </c>
      <c r="I170" t="s">
        <v>22</v>
      </c>
      <c r="J170" t="str">
        <v>Whatsapp</v>
      </c>
      <c r="K170" t="s">
        <v>47</v>
      </c>
      <c r="L170">
        <v>2</v>
      </c>
      <c r="M170">
        <v>2</v>
      </c>
      <c r="N170" t="s">
        <v>32</v>
      </c>
      <c r="O170" s="7">
        <v>350000</v>
      </c>
      <c r="P170" s="7">
        <v>52500</v>
      </c>
      <c r="Q170" s="7">
        <v>297500</v>
      </c>
      <c r="R170" s="7">
        <f t="shared" si="11"/>
        <v>297500</v>
      </c>
      <c r="S170" t="s">
        <v>78</v>
      </c>
      <c r="T170" t="str">
        <f t="shared" si="12"/>
        <v>Cash</v>
      </c>
      <c r="U170" t="s">
        <v>34</v>
      </c>
      <c r="V170">
        <v>5</v>
      </c>
      <c r="W170">
        <f t="shared" si="13"/>
        <v>5</v>
      </c>
      <c r="Y170" t="str">
        <f t="shared" si="14"/>
        <v/>
      </c>
      <c r="Z170" t="s">
        <v>72</v>
      </c>
      <c r="AC170" t="str">
        <f>IF(COUNTIF($A:$A,A170)&gt;1,"Duplicate","Unique")</f>
        <v>Unique</v>
      </c>
    </row>
    <row r="171" spans="1:29" x14ac:dyDescent="0.35">
      <c r="A171" t="s">
        <v>308</v>
      </c>
      <c r="B171" s="2">
        <v>45742</v>
      </c>
      <c r="C171" s="9">
        <f t="shared" si="10"/>
        <v>45742</v>
      </c>
      <c r="D171" t="s">
        <v>69</v>
      </c>
      <c r="E171" t="str">
        <v>Yogyakarta</v>
      </c>
      <c r="F171" t="s">
        <v>46</v>
      </c>
      <c r="G171" t="s">
        <v>21</v>
      </c>
      <c r="H171" t="str">
        <v>Content Batch</v>
      </c>
      <c r="I171" t="s">
        <v>54</v>
      </c>
      <c r="J171" t="str">
        <v>Referral</v>
      </c>
      <c r="K171" t="s">
        <v>47</v>
      </c>
      <c r="L171">
        <v>1</v>
      </c>
      <c r="M171">
        <v>1</v>
      </c>
      <c r="N171" t="s">
        <v>32</v>
      </c>
      <c r="O171" s="7">
        <v>225000</v>
      </c>
      <c r="P171" s="7">
        <v>0</v>
      </c>
      <c r="Q171" s="7">
        <v>225000</v>
      </c>
      <c r="R171" s="7">
        <f t="shared" si="11"/>
        <v>225000</v>
      </c>
      <c r="S171" t="s">
        <v>42</v>
      </c>
      <c r="T171" t="str">
        <f t="shared" si="12"/>
        <v>E-Wallet</v>
      </c>
      <c r="U171" t="s">
        <v>34</v>
      </c>
      <c r="V171">
        <v>4</v>
      </c>
      <c r="W171">
        <f t="shared" si="13"/>
        <v>4</v>
      </c>
      <c r="Y171" t="str">
        <f t="shared" si="14"/>
        <v/>
      </c>
      <c r="Z171" t="s">
        <v>48</v>
      </c>
      <c r="AA171" t="s">
        <v>35</v>
      </c>
      <c r="AC171" t="str">
        <f>IF(COUNTIF($A:$A,A171)&gt;1,"Duplicate","Unique")</f>
        <v>Unique</v>
      </c>
    </row>
    <row r="172" spans="1:29" x14ac:dyDescent="0.35">
      <c r="A172" t="s">
        <v>309</v>
      </c>
      <c r="B172" s="2">
        <v>45726</v>
      </c>
      <c r="C172" s="9">
        <f t="shared" si="10"/>
        <v>45726</v>
      </c>
      <c r="D172" t="s">
        <v>69</v>
      </c>
      <c r="E172" t="str">
        <v>Yogyakarta</v>
      </c>
      <c r="F172" t="s">
        <v>20</v>
      </c>
      <c r="G172" t="s">
        <v>90</v>
      </c>
      <c r="H172" t="str">
        <v>Voice Over</v>
      </c>
      <c r="I172" t="s">
        <v>84</v>
      </c>
      <c r="J172" t="str">
        <v>Instagram</v>
      </c>
      <c r="K172" t="s">
        <v>71</v>
      </c>
      <c r="L172">
        <v>4</v>
      </c>
      <c r="M172">
        <v>4</v>
      </c>
      <c r="N172" t="s">
        <v>55</v>
      </c>
      <c r="O172" s="7">
        <v>640000</v>
      </c>
      <c r="P172" s="7">
        <v>96000</v>
      </c>
      <c r="Q172" s="7">
        <v>544000</v>
      </c>
      <c r="R172" s="7">
        <f t="shared" si="11"/>
        <v>544000</v>
      </c>
      <c r="S172" t="s">
        <v>78</v>
      </c>
      <c r="T172" t="str">
        <f t="shared" si="12"/>
        <v>Cash</v>
      </c>
      <c r="U172" t="s">
        <v>56</v>
      </c>
      <c r="V172">
        <v>5</v>
      </c>
      <c r="W172">
        <f t="shared" si="13"/>
        <v>5</v>
      </c>
      <c r="Y172" t="str">
        <f t="shared" si="14"/>
        <v/>
      </c>
      <c r="Z172" t="s">
        <v>27</v>
      </c>
      <c r="AC172" t="str">
        <f>IF(COUNTIF($A:$A,A172)&gt;1,"Duplicate","Unique")</f>
        <v>Unique</v>
      </c>
    </row>
    <row r="173" spans="1:29" x14ac:dyDescent="0.35">
      <c r="A173" t="s">
        <v>310</v>
      </c>
      <c r="B173" s="2">
        <v>45861</v>
      </c>
      <c r="C173" s="9">
        <f t="shared" si="10"/>
        <v>45861</v>
      </c>
      <c r="D173" t="s">
        <v>53</v>
      </c>
      <c r="E173" t="str">
        <v>Surabaya</v>
      </c>
      <c r="F173" t="s">
        <v>59</v>
      </c>
      <c r="G173" t="s">
        <v>99</v>
      </c>
      <c r="H173" t="str">
        <v>Live Streaming</v>
      </c>
      <c r="I173" t="s">
        <v>39</v>
      </c>
      <c r="J173" t="str">
        <v>Website</v>
      </c>
      <c r="K173" t="s">
        <v>23</v>
      </c>
      <c r="L173">
        <v>2</v>
      </c>
      <c r="M173">
        <v>2</v>
      </c>
      <c r="N173" t="s">
        <v>41</v>
      </c>
      <c r="O173" s="7">
        <v>350000</v>
      </c>
      <c r="P173" s="7">
        <v>52500</v>
      </c>
      <c r="Q173" s="7">
        <v>297500</v>
      </c>
      <c r="R173" s="7">
        <f t="shared" si="11"/>
        <v>297500</v>
      </c>
      <c r="S173" t="s">
        <v>33</v>
      </c>
      <c r="T173" t="str">
        <f t="shared" si="12"/>
        <v>Virtual Account</v>
      </c>
      <c r="U173" t="s">
        <v>26</v>
      </c>
      <c r="V173">
        <v>5</v>
      </c>
      <c r="W173">
        <f t="shared" si="13"/>
        <v>5</v>
      </c>
      <c r="X173" t="s">
        <v>85</v>
      </c>
      <c r="Y173" t="str">
        <f t="shared" si="14"/>
        <v>Budget issue</v>
      </c>
      <c r="Z173" t="s">
        <v>27</v>
      </c>
      <c r="AA173" t="s">
        <v>94</v>
      </c>
      <c r="AC173" t="str">
        <f>IF(COUNTIF($A:$A,A173)&gt;1,"Duplicate","Unique")</f>
        <v>Unique</v>
      </c>
    </row>
    <row r="174" spans="1:29" x14ac:dyDescent="0.35">
      <c r="A174" t="s">
        <v>311</v>
      </c>
      <c r="B174" s="2">
        <v>46021</v>
      </c>
      <c r="C174" s="9">
        <f t="shared" si="10"/>
        <v>46021</v>
      </c>
      <c r="D174" t="s">
        <v>19</v>
      </c>
      <c r="E174" t="str">
        <v>Jakarta</v>
      </c>
      <c r="F174" t="s">
        <v>59</v>
      </c>
      <c r="G174" t="s">
        <v>70</v>
      </c>
      <c r="H174" t="str">
        <v>Voice Over</v>
      </c>
      <c r="I174" t="s">
        <v>74</v>
      </c>
      <c r="J174" t="str">
        <v>Referral</v>
      </c>
      <c r="K174" t="s">
        <v>71</v>
      </c>
      <c r="L174">
        <v>3</v>
      </c>
      <c r="M174">
        <v>3</v>
      </c>
      <c r="N174" t="s">
        <v>41</v>
      </c>
      <c r="O174" s="7">
        <v>525000</v>
      </c>
      <c r="P174" s="7">
        <v>26250</v>
      </c>
      <c r="Q174" s="7">
        <v>498750</v>
      </c>
      <c r="R174" s="7">
        <f t="shared" si="11"/>
        <v>498750</v>
      </c>
      <c r="S174" t="s">
        <v>78</v>
      </c>
      <c r="T174" t="str">
        <f t="shared" si="12"/>
        <v>Cash</v>
      </c>
      <c r="U174" t="s">
        <v>26</v>
      </c>
      <c r="W174" t="str">
        <f t="shared" si="13"/>
        <v/>
      </c>
      <c r="Y174" t="str">
        <f t="shared" si="14"/>
        <v>Not Provided</v>
      </c>
      <c r="Z174" t="s">
        <v>60</v>
      </c>
      <c r="AA174" t="s">
        <v>49</v>
      </c>
      <c r="AC174" t="str">
        <f>IF(COUNTIF($A:$A,A174)&gt;1,"Duplicate","Unique")</f>
        <v>Unique</v>
      </c>
    </row>
    <row r="175" spans="1:29" x14ac:dyDescent="0.35">
      <c r="A175" t="s">
        <v>312</v>
      </c>
      <c r="B175" s="2">
        <v>45689</v>
      </c>
      <c r="C175" s="9">
        <f t="shared" si="10"/>
        <v>45689</v>
      </c>
      <c r="D175" t="s">
        <v>53</v>
      </c>
      <c r="E175" t="str">
        <v>Surabaya</v>
      </c>
      <c r="F175" t="s">
        <v>46</v>
      </c>
      <c r="G175" t="s">
        <v>90</v>
      </c>
      <c r="H175" t="str">
        <v>Voice Over</v>
      </c>
      <c r="I175" t="s">
        <v>313</v>
      </c>
      <c r="J175" t="str">
        <v>Instagram</v>
      </c>
      <c r="K175" t="s">
        <v>40</v>
      </c>
      <c r="L175">
        <v>4</v>
      </c>
      <c r="M175">
        <v>4</v>
      </c>
      <c r="N175" t="s">
        <v>55</v>
      </c>
      <c r="O175" s="7">
        <v>1000000</v>
      </c>
      <c r="P175" s="7">
        <v>150000</v>
      </c>
      <c r="Q175" s="7">
        <v>850000</v>
      </c>
      <c r="R175" s="7">
        <f t="shared" si="11"/>
        <v>850000</v>
      </c>
      <c r="S175" t="s">
        <v>25</v>
      </c>
      <c r="T175" t="str">
        <f t="shared" si="12"/>
        <v>Transfer</v>
      </c>
      <c r="U175" t="s">
        <v>56</v>
      </c>
      <c r="V175">
        <v>5</v>
      </c>
      <c r="W175">
        <f t="shared" si="13"/>
        <v>5</v>
      </c>
      <c r="Y175" t="str">
        <f t="shared" si="14"/>
        <v/>
      </c>
      <c r="Z175" t="s">
        <v>48</v>
      </c>
      <c r="AA175" t="s">
        <v>49</v>
      </c>
      <c r="AC175" t="str">
        <f>IF(COUNTIF($A:$A,A175)&gt;1,"Duplicate","Unique")</f>
        <v>Unique</v>
      </c>
    </row>
    <row r="176" spans="1:29" x14ac:dyDescent="0.35">
      <c r="A176" t="s">
        <v>314</v>
      </c>
      <c r="B176" t="s">
        <v>315</v>
      </c>
      <c r="C176" s="9">
        <f t="shared" si="10"/>
        <v>45685</v>
      </c>
      <c r="D176" t="s">
        <v>58</v>
      </c>
      <c r="E176" t="str">
        <v>Jakarta</v>
      </c>
      <c r="F176" t="s">
        <v>59</v>
      </c>
      <c r="G176" t="s">
        <v>103</v>
      </c>
      <c r="H176" t="str">
        <v>Video Podcast</v>
      </c>
      <c r="I176" t="s">
        <v>112</v>
      </c>
      <c r="J176" t="str">
        <v>Marketplace</v>
      </c>
      <c r="K176" t="s">
        <v>66</v>
      </c>
      <c r="L176">
        <v>2</v>
      </c>
      <c r="M176">
        <v>2</v>
      </c>
      <c r="N176" t="s">
        <v>55</v>
      </c>
      <c r="O176" s="7">
        <v>430000</v>
      </c>
      <c r="P176" s="7">
        <v>64500</v>
      </c>
      <c r="Q176" s="7">
        <v>365500</v>
      </c>
      <c r="R176" s="7">
        <f t="shared" si="11"/>
        <v>365500</v>
      </c>
      <c r="S176" t="s">
        <v>33</v>
      </c>
      <c r="T176" t="str">
        <f t="shared" si="12"/>
        <v>Virtual Account</v>
      </c>
      <c r="U176" t="s">
        <v>56</v>
      </c>
      <c r="V176">
        <v>4</v>
      </c>
      <c r="W176">
        <f t="shared" si="13"/>
        <v>4</v>
      </c>
      <c r="Y176" t="str">
        <f t="shared" si="14"/>
        <v/>
      </c>
      <c r="Z176" t="s">
        <v>60</v>
      </c>
      <c r="AC176" t="str">
        <f>IF(COUNTIF($A:$A,A176)&gt;1,"Duplicate","Unique")</f>
        <v>Unique</v>
      </c>
    </row>
    <row r="177" spans="1:29" x14ac:dyDescent="0.35">
      <c r="A177" t="s">
        <v>316</v>
      </c>
      <c r="B177" s="2">
        <v>45957</v>
      </c>
      <c r="C177" s="9">
        <f t="shared" si="10"/>
        <v>45957</v>
      </c>
      <c r="D177" t="s">
        <v>53</v>
      </c>
      <c r="E177" t="str">
        <v>Surabaya</v>
      </c>
      <c r="F177" t="s">
        <v>20</v>
      </c>
      <c r="G177" t="s">
        <v>31</v>
      </c>
      <c r="H177" t="str">
        <v>Product Photoshoot</v>
      </c>
      <c r="I177" t="s">
        <v>54</v>
      </c>
      <c r="J177" t="str">
        <v>Referral</v>
      </c>
      <c r="K177" t="s">
        <v>23</v>
      </c>
      <c r="L177" t="s">
        <v>104</v>
      </c>
      <c r="M177">
        <v>2</v>
      </c>
      <c r="N177" t="s">
        <v>24</v>
      </c>
      <c r="O177" s="7">
        <v>170000</v>
      </c>
      <c r="P177" s="7">
        <v>25500</v>
      </c>
      <c r="Q177" s="7">
        <v>144500</v>
      </c>
      <c r="R177" s="7">
        <f t="shared" si="11"/>
        <v>144500</v>
      </c>
      <c r="T177" t="str">
        <f t="shared" si="12"/>
        <v/>
      </c>
      <c r="U177" t="s">
        <v>34</v>
      </c>
      <c r="V177">
        <v>5</v>
      </c>
      <c r="W177">
        <f t="shared" si="13"/>
        <v>5</v>
      </c>
      <c r="Y177" t="str">
        <f t="shared" si="14"/>
        <v/>
      </c>
      <c r="Z177" t="s">
        <v>43</v>
      </c>
      <c r="AA177" t="s">
        <v>35</v>
      </c>
      <c r="AC177" t="str">
        <f>IF(COUNTIF($A:$A,A177)&gt;1,"Duplicate","Unique")</f>
        <v>Unique</v>
      </c>
    </row>
    <row r="178" spans="1:29" x14ac:dyDescent="0.35">
      <c r="A178" t="s">
        <v>317</v>
      </c>
      <c r="B178" s="2">
        <v>45936</v>
      </c>
      <c r="C178" s="9">
        <f t="shared" si="10"/>
        <v>45936</v>
      </c>
      <c r="D178" t="s">
        <v>45</v>
      </c>
      <c r="E178" t="str">
        <v>Malang</v>
      </c>
      <c r="F178" t="s">
        <v>30</v>
      </c>
      <c r="G178" t="s">
        <v>229</v>
      </c>
      <c r="H178" t="str">
        <v>Podcast Recording</v>
      </c>
      <c r="I178" t="s">
        <v>22</v>
      </c>
      <c r="J178" t="str">
        <v>Whatsapp</v>
      </c>
      <c r="K178" t="s">
        <v>23</v>
      </c>
      <c r="L178">
        <v>1</v>
      </c>
      <c r="M178">
        <v>1</v>
      </c>
      <c r="N178" t="s">
        <v>41</v>
      </c>
      <c r="O178" s="7">
        <v>160000</v>
      </c>
      <c r="P178" s="7">
        <v>0</v>
      </c>
      <c r="Q178" s="7">
        <v>160000</v>
      </c>
      <c r="R178" s="7">
        <f t="shared" si="11"/>
        <v>160000</v>
      </c>
      <c r="S178" t="s">
        <v>33</v>
      </c>
      <c r="T178" t="str">
        <f t="shared" si="12"/>
        <v>Virtual Account</v>
      </c>
      <c r="U178" t="s">
        <v>34</v>
      </c>
      <c r="W178" t="str">
        <f t="shared" si="13"/>
        <v/>
      </c>
      <c r="Y178" t="str">
        <f t="shared" si="14"/>
        <v/>
      </c>
      <c r="Z178" t="s">
        <v>72</v>
      </c>
      <c r="AA178" t="s">
        <v>49</v>
      </c>
      <c r="AC178" t="str">
        <f>IF(COUNTIF($A:$A,A178)&gt;1,"Duplicate","Unique")</f>
        <v>Unique</v>
      </c>
    </row>
    <row r="179" spans="1:29" x14ac:dyDescent="0.35">
      <c r="A179" t="s">
        <v>318</v>
      </c>
      <c r="B179" s="2">
        <v>46007</v>
      </c>
      <c r="C179" s="9">
        <f t="shared" si="10"/>
        <v>46007</v>
      </c>
      <c r="D179" t="s">
        <v>256</v>
      </c>
      <c r="E179" t="str">
        <v>Surabaya</v>
      </c>
      <c r="F179" t="s">
        <v>30</v>
      </c>
      <c r="G179" t="s">
        <v>38</v>
      </c>
      <c r="H179" t="str">
        <v>Podcast Recording</v>
      </c>
      <c r="I179" t="s">
        <v>54</v>
      </c>
      <c r="J179" t="str">
        <v>Referral</v>
      </c>
      <c r="K179" t="s">
        <v>40</v>
      </c>
      <c r="L179">
        <v>2</v>
      </c>
      <c r="M179">
        <v>2</v>
      </c>
      <c r="N179" t="s">
        <v>41</v>
      </c>
      <c r="O179" s="7">
        <v>320000</v>
      </c>
      <c r="P179" s="7">
        <v>32000</v>
      </c>
      <c r="Q179" s="7">
        <v>288000</v>
      </c>
      <c r="R179" s="7">
        <f t="shared" si="11"/>
        <v>288000</v>
      </c>
      <c r="S179" t="s">
        <v>33</v>
      </c>
      <c r="T179" t="str">
        <f t="shared" si="12"/>
        <v>Virtual Account</v>
      </c>
      <c r="U179" t="s">
        <v>34</v>
      </c>
      <c r="W179" t="str">
        <f t="shared" si="13"/>
        <v/>
      </c>
      <c r="Y179" t="str">
        <f t="shared" si="14"/>
        <v/>
      </c>
      <c r="Z179" t="s">
        <v>72</v>
      </c>
      <c r="AA179" t="s">
        <v>49</v>
      </c>
      <c r="AC179" t="str">
        <f>IF(COUNTIF($A:$A,A179)&gt;1,"Duplicate","Unique")</f>
        <v>Unique</v>
      </c>
    </row>
    <row r="180" spans="1:29" x14ac:dyDescent="0.35">
      <c r="A180" t="s">
        <v>319</v>
      </c>
      <c r="B180" s="2">
        <v>45978</v>
      </c>
      <c r="C180" s="9">
        <f t="shared" si="10"/>
        <v>45978</v>
      </c>
      <c r="D180" t="s">
        <v>58</v>
      </c>
      <c r="E180" t="str">
        <v>Jakarta</v>
      </c>
      <c r="F180" t="s">
        <v>46</v>
      </c>
      <c r="G180" t="s">
        <v>21</v>
      </c>
      <c r="H180" t="str">
        <v>Content Batch</v>
      </c>
      <c r="I180" t="s">
        <v>320</v>
      </c>
      <c r="J180" t="str">
        <v>Website</v>
      </c>
      <c r="K180" t="s">
        <v>66</v>
      </c>
      <c r="L180">
        <v>4</v>
      </c>
      <c r="M180">
        <v>4</v>
      </c>
      <c r="N180" t="s">
        <v>32</v>
      </c>
      <c r="O180" s="7">
        <v>900000</v>
      </c>
      <c r="P180" s="7">
        <v>135000</v>
      </c>
      <c r="Q180" s="7">
        <v>765000</v>
      </c>
      <c r="R180" s="7">
        <f t="shared" si="11"/>
        <v>765000</v>
      </c>
      <c r="S180" t="s">
        <v>42</v>
      </c>
      <c r="T180" t="str">
        <f t="shared" si="12"/>
        <v>E-Wallet</v>
      </c>
      <c r="U180" t="s">
        <v>56</v>
      </c>
      <c r="W180" t="str">
        <f t="shared" si="13"/>
        <v/>
      </c>
      <c r="Y180" t="str">
        <f t="shared" si="14"/>
        <v/>
      </c>
      <c r="Z180" t="s">
        <v>27</v>
      </c>
      <c r="AC180" t="str">
        <f>IF(COUNTIF($A:$A,A180)&gt;1,"Duplicate","Unique")</f>
        <v>Unique</v>
      </c>
    </row>
    <row r="181" spans="1:29" x14ac:dyDescent="0.35">
      <c r="A181" t="s">
        <v>321</v>
      </c>
      <c r="B181" t="s">
        <v>322</v>
      </c>
      <c r="C181" s="9">
        <f t="shared" si="10"/>
        <v>45866</v>
      </c>
      <c r="D181" t="s">
        <v>69</v>
      </c>
      <c r="E181" t="str">
        <v>Yogyakarta</v>
      </c>
      <c r="F181" t="s">
        <v>30</v>
      </c>
      <c r="G181" t="s">
        <v>222</v>
      </c>
      <c r="H181" t="str">
        <v>Content Batch</v>
      </c>
      <c r="I181" t="s">
        <v>54</v>
      </c>
      <c r="J181" t="str">
        <v>Referral</v>
      </c>
      <c r="K181" t="s">
        <v>66</v>
      </c>
      <c r="L181">
        <v>1</v>
      </c>
      <c r="M181">
        <v>1</v>
      </c>
      <c r="N181" t="s">
        <v>24</v>
      </c>
      <c r="O181" s="7">
        <v>125000</v>
      </c>
      <c r="P181" s="7">
        <v>18750</v>
      </c>
      <c r="Q181" s="7">
        <v>106250</v>
      </c>
      <c r="R181" s="7">
        <f t="shared" si="11"/>
        <v>106250</v>
      </c>
      <c r="S181" t="s">
        <v>78</v>
      </c>
      <c r="T181" t="str">
        <f t="shared" si="12"/>
        <v>Cash</v>
      </c>
      <c r="U181" t="s">
        <v>26</v>
      </c>
      <c r="V181">
        <v>5</v>
      </c>
      <c r="W181">
        <f t="shared" si="13"/>
        <v>5</v>
      </c>
      <c r="X181" t="s">
        <v>85</v>
      </c>
      <c r="Y181" t="str">
        <f t="shared" si="14"/>
        <v>Budget issue</v>
      </c>
      <c r="Z181" t="s">
        <v>72</v>
      </c>
      <c r="AC181" t="str">
        <f>IF(COUNTIF($A:$A,A181)&gt;1,"Duplicate","Unique")</f>
        <v>Unique</v>
      </c>
    </row>
    <row r="182" spans="1:29" x14ac:dyDescent="0.35">
      <c r="A182" t="s">
        <v>323</v>
      </c>
      <c r="B182" s="2">
        <v>45802</v>
      </c>
      <c r="C182" s="9">
        <f t="shared" si="10"/>
        <v>45802</v>
      </c>
      <c r="D182" t="s">
        <v>69</v>
      </c>
      <c r="E182" t="str">
        <v>Yogyakarta</v>
      </c>
      <c r="F182" t="s">
        <v>30</v>
      </c>
      <c r="G182" t="s">
        <v>99</v>
      </c>
      <c r="H182" t="str">
        <v>Live Streaming</v>
      </c>
      <c r="I182" t="s">
        <v>84</v>
      </c>
      <c r="J182" t="str">
        <v>Instagram</v>
      </c>
      <c r="K182" t="s">
        <v>66</v>
      </c>
      <c r="L182">
        <v>3</v>
      </c>
      <c r="M182">
        <v>3</v>
      </c>
      <c r="N182" t="s">
        <v>32</v>
      </c>
      <c r="O182" s="7">
        <v>525000</v>
      </c>
      <c r="P182" s="7">
        <v>52500</v>
      </c>
      <c r="Q182" s="7">
        <v>472500</v>
      </c>
      <c r="R182" s="7">
        <f t="shared" si="11"/>
        <v>472500</v>
      </c>
      <c r="S182" t="s">
        <v>42</v>
      </c>
      <c r="T182" t="str">
        <f t="shared" si="12"/>
        <v>E-Wallet</v>
      </c>
      <c r="U182" t="s">
        <v>34</v>
      </c>
      <c r="V182">
        <v>4</v>
      </c>
      <c r="W182">
        <f t="shared" si="13"/>
        <v>4</v>
      </c>
      <c r="Y182" t="str">
        <f t="shared" si="14"/>
        <v/>
      </c>
      <c r="Z182" t="s">
        <v>72</v>
      </c>
      <c r="AA182" t="s">
        <v>94</v>
      </c>
      <c r="AC182" t="str">
        <f>IF(COUNTIF($A:$A,A182)&gt;1,"Duplicate","Unique")</f>
        <v>Unique</v>
      </c>
    </row>
    <row r="183" spans="1:29" x14ac:dyDescent="0.35">
      <c r="A183" t="s">
        <v>324</v>
      </c>
      <c r="B183" s="2">
        <v>45951</v>
      </c>
      <c r="C183" s="9">
        <f t="shared" si="10"/>
        <v>45951</v>
      </c>
      <c r="D183" t="s">
        <v>45</v>
      </c>
      <c r="E183" t="str">
        <v>Malang</v>
      </c>
      <c r="F183" t="s">
        <v>30</v>
      </c>
      <c r="G183" t="s">
        <v>90</v>
      </c>
      <c r="H183" t="str">
        <v>Voice Over</v>
      </c>
      <c r="I183" t="s">
        <v>65</v>
      </c>
      <c r="J183" t="str">
        <v>Marketplace</v>
      </c>
      <c r="K183" t="s">
        <v>47</v>
      </c>
      <c r="L183">
        <v>2</v>
      </c>
      <c r="M183">
        <v>2</v>
      </c>
      <c r="N183" t="s">
        <v>55</v>
      </c>
      <c r="O183" s="7">
        <v>400000</v>
      </c>
      <c r="P183" s="7">
        <v>0</v>
      </c>
      <c r="Q183" s="7">
        <v>400000</v>
      </c>
      <c r="R183" s="7">
        <f t="shared" si="11"/>
        <v>400000</v>
      </c>
      <c r="S183" t="s">
        <v>33</v>
      </c>
      <c r="T183" t="str">
        <f t="shared" si="12"/>
        <v>Virtual Account</v>
      </c>
      <c r="U183" t="s">
        <v>34</v>
      </c>
      <c r="V183">
        <v>4</v>
      </c>
      <c r="W183">
        <f t="shared" si="13"/>
        <v>4</v>
      </c>
      <c r="Y183" t="str">
        <f t="shared" si="14"/>
        <v/>
      </c>
      <c r="Z183" t="s">
        <v>72</v>
      </c>
      <c r="AC183" t="str">
        <f>IF(COUNTIF($A:$A,A183)&gt;1,"Duplicate","Unique")</f>
        <v>Unique</v>
      </c>
    </row>
    <row r="184" spans="1:29" x14ac:dyDescent="0.35">
      <c r="A184" t="s">
        <v>325</v>
      </c>
      <c r="B184" s="2">
        <v>45806</v>
      </c>
      <c r="C184" s="9">
        <f t="shared" si="10"/>
        <v>45806</v>
      </c>
      <c r="D184" t="s">
        <v>19</v>
      </c>
      <c r="E184" t="str">
        <v>Jakarta</v>
      </c>
      <c r="F184" t="s">
        <v>59</v>
      </c>
      <c r="G184" t="s">
        <v>38</v>
      </c>
      <c r="H184" t="str">
        <v>Podcast Recording</v>
      </c>
      <c r="I184" t="s">
        <v>39</v>
      </c>
      <c r="J184" t="str">
        <v>Website</v>
      </c>
      <c r="K184" t="s">
        <v>71</v>
      </c>
      <c r="L184">
        <v>1</v>
      </c>
      <c r="M184">
        <v>1</v>
      </c>
      <c r="N184" t="s">
        <v>55</v>
      </c>
      <c r="O184" s="7">
        <v>215000</v>
      </c>
      <c r="P184" s="7">
        <v>0</v>
      </c>
      <c r="Q184" s="7">
        <v>215000</v>
      </c>
      <c r="R184" s="7">
        <f t="shared" si="11"/>
        <v>215000</v>
      </c>
      <c r="S184" t="s">
        <v>33</v>
      </c>
      <c r="T184" t="str">
        <f t="shared" si="12"/>
        <v>Virtual Account</v>
      </c>
      <c r="U184" t="s">
        <v>34</v>
      </c>
      <c r="V184">
        <v>4</v>
      </c>
      <c r="W184">
        <f t="shared" si="13"/>
        <v>4</v>
      </c>
      <c r="Y184" t="str">
        <f t="shared" si="14"/>
        <v/>
      </c>
      <c r="Z184" t="s">
        <v>27</v>
      </c>
      <c r="AA184" t="s">
        <v>49</v>
      </c>
      <c r="AC184" t="str">
        <f>IF(COUNTIF($A:$A,A184)&gt;1,"Duplicate","Unique")</f>
        <v>Unique</v>
      </c>
    </row>
    <row r="185" spans="1:29" x14ac:dyDescent="0.35">
      <c r="A185" t="s">
        <v>326</v>
      </c>
      <c r="B185" t="s">
        <v>327</v>
      </c>
      <c r="C185" s="9">
        <f t="shared" si="10"/>
        <v>45877</v>
      </c>
      <c r="D185" t="s">
        <v>37</v>
      </c>
      <c r="E185" t="str">
        <v>Bandung</v>
      </c>
      <c r="F185" t="s">
        <v>20</v>
      </c>
      <c r="G185" t="s">
        <v>31</v>
      </c>
      <c r="H185" t="str">
        <v>Product Photoshoot</v>
      </c>
      <c r="I185" t="s">
        <v>39</v>
      </c>
      <c r="J185" t="str">
        <v>Website</v>
      </c>
      <c r="K185" t="s">
        <v>23</v>
      </c>
      <c r="L185">
        <v>4</v>
      </c>
      <c r="M185">
        <v>4</v>
      </c>
      <c r="N185" t="s">
        <v>41</v>
      </c>
      <c r="O185" s="7">
        <v>480000</v>
      </c>
      <c r="P185" s="7">
        <v>0</v>
      </c>
      <c r="Q185" s="7">
        <v>480000</v>
      </c>
      <c r="R185" s="7">
        <f t="shared" si="11"/>
        <v>480000</v>
      </c>
      <c r="S185" t="s">
        <v>78</v>
      </c>
      <c r="T185" t="str">
        <f t="shared" si="12"/>
        <v>Cash</v>
      </c>
      <c r="U185" t="s">
        <v>34</v>
      </c>
      <c r="V185">
        <v>5</v>
      </c>
      <c r="W185">
        <f t="shared" si="13"/>
        <v>5</v>
      </c>
      <c r="Y185" t="str">
        <f t="shared" si="14"/>
        <v/>
      </c>
      <c r="Z185" t="s">
        <v>48</v>
      </c>
      <c r="AA185" t="s">
        <v>94</v>
      </c>
      <c r="AC185" t="str">
        <f>IF(COUNTIF($A:$A,A185)&gt;1,"Duplicate","Unique")</f>
        <v>Unique</v>
      </c>
    </row>
    <row r="186" spans="1:29" x14ac:dyDescent="0.35">
      <c r="A186" t="s">
        <v>328</v>
      </c>
      <c r="B186" s="2">
        <v>45758</v>
      </c>
      <c r="C186" s="9">
        <f t="shared" si="10"/>
        <v>45758</v>
      </c>
      <c r="D186" t="s">
        <v>53</v>
      </c>
      <c r="E186" t="str">
        <v>Surabaya</v>
      </c>
      <c r="F186" t="s">
        <v>20</v>
      </c>
      <c r="G186" t="s">
        <v>21</v>
      </c>
      <c r="H186" t="str">
        <v>Content Batch</v>
      </c>
      <c r="I186" t="s">
        <v>84</v>
      </c>
      <c r="J186" t="str">
        <v>Instagram</v>
      </c>
      <c r="K186" t="s">
        <v>47</v>
      </c>
      <c r="L186">
        <v>2</v>
      </c>
      <c r="M186">
        <v>2</v>
      </c>
      <c r="N186" t="s">
        <v>32</v>
      </c>
      <c r="O186" s="7">
        <v>270000</v>
      </c>
      <c r="P186" s="7">
        <v>27000</v>
      </c>
      <c r="Q186" s="7">
        <v>243000</v>
      </c>
      <c r="R186" s="7">
        <f t="shared" si="11"/>
        <v>243000</v>
      </c>
      <c r="S186" t="s">
        <v>25</v>
      </c>
      <c r="T186" t="str">
        <f t="shared" si="12"/>
        <v>Transfer</v>
      </c>
      <c r="U186" t="s">
        <v>56</v>
      </c>
      <c r="V186">
        <v>4</v>
      </c>
      <c r="W186">
        <f t="shared" si="13"/>
        <v>4</v>
      </c>
      <c r="Y186" t="str">
        <f t="shared" si="14"/>
        <v/>
      </c>
      <c r="Z186" t="s">
        <v>43</v>
      </c>
      <c r="AC186" t="str">
        <f>IF(COUNTIF($A:$A,A186)&gt;1,"Duplicate","Unique")</f>
        <v>Unique</v>
      </c>
    </row>
    <row r="187" spans="1:29" x14ac:dyDescent="0.35">
      <c r="A187" t="s">
        <v>329</v>
      </c>
      <c r="B187" t="s">
        <v>330</v>
      </c>
      <c r="C187" s="9">
        <f t="shared" si="10"/>
        <v>45914</v>
      </c>
      <c r="D187" t="s">
        <v>45</v>
      </c>
      <c r="E187" t="str">
        <v>Malang</v>
      </c>
      <c r="F187" t="s">
        <v>20</v>
      </c>
      <c r="G187" t="s">
        <v>99</v>
      </c>
      <c r="H187" t="str">
        <v>Live Streaming</v>
      </c>
      <c r="I187" t="s">
        <v>22</v>
      </c>
      <c r="J187" t="str">
        <v>Whatsapp</v>
      </c>
      <c r="K187" t="s">
        <v>71</v>
      </c>
      <c r="L187">
        <v>4</v>
      </c>
      <c r="M187">
        <v>4</v>
      </c>
      <c r="N187" t="s">
        <v>55</v>
      </c>
      <c r="O187" s="7">
        <v>640000</v>
      </c>
      <c r="P187" s="7">
        <v>64000</v>
      </c>
      <c r="Q187" s="7">
        <v>576000</v>
      </c>
      <c r="R187" s="7">
        <f t="shared" si="11"/>
        <v>576000</v>
      </c>
      <c r="T187" t="str">
        <f t="shared" si="12"/>
        <v/>
      </c>
      <c r="U187" t="s">
        <v>34</v>
      </c>
      <c r="V187">
        <v>4</v>
      </c>
      <c r="W187">
        <f t="shared" si="13"/>
        <v>4</v>
      </c>
      <c r="Y187" t="str">
        <f t="shared" si="14"/>
        <v/>
      </c>
      <c r="Z187" t="s">
        <v>27</v>
      </c>
      <c r="AA187" t="s">
        <v>96</v>
      </c>
      <c r="AC187" t="str">
        <f>IF(COUNTIF($A:$A,A187)&gt;1,"Duplicate","Unique")</f>
        <v>Unique</v>
      </c>
    </row>
    <row r="188" spans="1:29" x14ac:dyDescent="0.35">
      <c r="A188" t="s">
        <v>331</v>
      </c>
      <c r="B188" s="2">
        <v>45847</v>
      </c>
      <c r="C188" s="9">
        <f t="shared" si="10"/>
        <v>45847</v>
      </c>
      <c r="D188" t="s">
        <v>37</v>
      </c>
      <c r="E188" t="str">
        <v>Bandung</v>
      </c>
      <c r="F188" t="s">
        <v>20</v>
      </c>
      <c r="G188" t="s">
        <v>21</v>
      </c>
      <c r="H188" t="str">
        <v>Content Batch</v>
      </c>
      <c r="I188" t="s">
        <v>39</v>
      </c>
      <c r="J188" t="str">
        <v>Website</v>
      </c>
      <c r="K188" t="s">
        <v>71</v>
      </c>
      <c r="L188">
        <v>2</v>
      </c>
      <c r="M188">
        <v>2</v>
      </c>
      <c r="N188" t="s">
        <v>32</v>
      </c>
      <c r="O188" s="7">
        <v>270000</v>
      </c>
      <c r="P188" s="7">
        <v>0</v>
      </c>
      <c r="Q188" s="7">
        <v>270000</v>
      </c>
      <c r="R188" s="7">
        <f t="shared" si="11"/>
        <v>270000</v>
      </c>
      <c r="S188" t="s">
        <v>33</v>
      </c>
      <c r="T188" t="str">
        <f t="shared" si="12"/>
        <v>Virtual Account</v>
      </c>
      <c r="U188" t="s">
        <v>34</v>
      </c>
      <c r="V188">
        <v>3</v>
      </c>
      <c r="W188">
        <f t="shared" si="13"/>
        <v>3</v>
      </c>
      <c r="Y188" t="str">
        <f t="shared" si="14"/>
        <v/>
      </c>
      <c r="Z188" t="s">
        <v>72</v>
      </c>
      <c r="AA188" t="s">
        <v>94</v>
      </c>
      <c r="AC188" t="str">
        <f>IF(COUNTIF($A:$A,A188)&gt;1,"Duplicate","Unique")</f>
        <v>Unique</v>
      </c>
    </row>
    <row r="189" spans="1:29" x14ac:dyDescent="0.35">
      <c r="A189" t="s">
        <v>332</v>
      </c>
      <c r="B189" t="s">
        <v>333</v>
      </c>
      <c r="C189" s="9">
        <f t="shared" si="10"/>
        <v>45922</v>
      </c>
      <c r="D189" t="s">
        <v>53</v>
      </c>
      <c r="E189" t="str">
        <v>Surabaya</v>
      </c>
      <c r="F189" t="s">
        <v>30</v>
      </c>
      <c r="G189" t="s">
        <v>103</v>
      </c>
      <c r="H189" t="str">
        <v>Video Podcast</v>
      </c>
      <c r="I189" t="s">
        <v>112</v>
      </c>
      <c r="J189" t="str">
        <v>Marketplace</v>
      </c>
      <c r="K189" t="s">
        <v>66</v>
      </c>
      <c r="L189">
        <v>4</v>
      </c>
      <c r="M189">
        <v>4</v>
      </c>
      <c r="N189" t="s">
        <v>32</v>
      </c>
      <c r="O189" s="7">
        <v>700000</v>
      </c>
      <c r="P189" s="7">
        <v>70000</v>
      </c>
      <c r="Q189" s="7">
        <v>630000</v>
      </c>
      <c r="R189" s="7">
        <f t="shared" si="11"/>
        <v>630000</v>
      </c>
      <c r="S189" t="s">
        <v>33</v>
      </c>
      <c r="T189" t="str">
        <f t="shared" si="12"/>
        <v>Virtual Account</v>
      </c>
      <c r="U189" t="s">
        <v>34</v>
      </c>
      <c r="V189">
        <v>3</v>
      </c>
      <c r="W189">
        <f t="shared" si="13"/>
        <v>3</v>
      </c>
      <c r="Y189" t="str">
        <f t="shared" si="14"/>
        <v/>
      </c>
      <c r="Z189" t="s">
        <v>60</v>
      </c>
      <c r="AA189" t="s">
        <v>49</v>
      </c>
      <c r="AC189" t="str">
        <f>IF(COUNTIF($A:$A,A189)&gt;1,"Duplicate","Unique")</f>
        <v>Unique</v>
      </c>
    </row>
    <row r="190" spans="1:29" x14ac:dyDescent="0.35">
      <c r="A190" t="s">
        <v>334</v>
      </c>
      <c r="B190" t="s">
        <v>335</v>
      </c>
      <c r="C190" s="9">
        <f t="shared" si="10"/>
        <v>45870</v>
      </c>
      <c r="D190" t="s">
        <v>53</v>
      </c>
      <c r="E190" t="str">
        <v>Surabaya</v>
      </c>
      <c r="F190" t="s">
        <v>20</v>
      </c>
      <c r="G190" t="s">
        <v>153</v>
      </c>
      <c r="H190" t="str">
        <v>Live Streaming</v>
      </c>
      <c r="I190" t="s">
        <v>54</v>
      </c>
      <c r="J190" t="str">
        <v>Referral</v>
      </c>
      <c r="K190" t="s">
        <v>66</v>
      </c>
      <c r="L190">
        <v>4</v>
      </c>
      <c r="M190">
        <v>4</v>
      </c>
      <c r="N190" t="s">
        <v>32</v>
      </c>
      <c r="O190" s="7">
        <v>540000</v>
      </c>
      <c r="P190" s="7">
        <v>0</v>
      </c>
      <c r="Q190" s="7">
        <v>540000</v>
      </c>
      <c r="R190" s="7">
        <f t="shared" si="11"/>
        <v>540000</v>
      </c>
      <c r="S190" t="s">
        <v>42</v>
      </c>
      <c r="T190" t="str">
        <f t="shared" si="12"/>
        <v>E-Wallet</v>
      </c>
      <c r="U190" t="s">
        <v>26</v>
      </c>
      <c r="V190">
        <v>4</v>
      </c>
      <c r="W190">
        <f t="shared" si="13"/>
        <v>4</v>
      </c>
      <c r="Y190" t="str">
        <f t="shared" si="14"/>
        <v>Not Provided</v>
      </c>
      <c r="Z190" t="s">
        <v>43</v>
      </c>
      <c r="AC190" t="str">
        <f>IF(COUNTIF($A:$A,A190)&gt;1,"Duplicate","Unique")</f>
        <v>Unique</v>
      </c>
    </row>
    <row r="191" spans="1:29" x14ac:dyDescent="0.35">
      <c r="A191" t="s">
        <v>336</v>
      </c>
      <c r="B191" s="2">
        <v>45964</v>
      </c>
      <c r="C191" s="9">
        <f t="shared" si="10"/>
        <v>45964</v>
      </c>
      <c r="D191" t="s">
        <v>45</v>
      </c>
      <c r="E191" t="str">
        <v>Malang</v>
      </c>
      <c r="F191" t="s">
        <v>20</v>
      </c>
      <c r="G191" t="s">
        <v>21</v>
      </c>
      <c r="H191" t="str">
        <v>Content Batch</v>
      </c>
      <c r="I191" t="s">
        <v>22</v>
      </c>
      <c r="J191" t="str">
        <v>Whatsapp</v>
      </c>
      <c r="K191" t="s">
        <v>47</v>
      </c>
      <c r="L191">
        <v>1</v>
      </c>
      <c r="M191">
        <v>1</v>
      </c>
      <c r="N191" t="s">
        <v>55</v>
      </c>
      <c r="O191" s="7">
        <v>160000</v>
      </c>
      <c r="P191" s="7">
        <v>8000</v>
      </c>
      <c r="Q191" s="7">
        <v>152000</v>
      </c>
      <c r="R191" s="7">
        <f t="shared" si="11"/>
        <v>152000</v>
      </c>
      <c r="S191" t="s">
        <v>78</v>
      </c>
      <c r="T191" t="str">
        <f t="shared" si="12"/>
        <v>Cash</v>
      </c>
      <c r="U191" t="s">
        <v>34</v>
      </c>
      <c r="V191">
        <v>5</v>
      </c>
      <c r="W191">
        <f t="shared" si="13"/>
        <v>5</v>
      </c>
      <c r="Y191" t="str">
        <f t="shared" si="14"/>
        <v/>
      </c>
      <c r="Z191" t="s">
        <v>43</v>
      </c>
      <c r="AC191" t="str">
        <f>IF(COUNTIF($A:$A,A191)&gt;1,"Duplicate","Unique")</f>
        <v>Unique</v>
      </c>
    </row>
    <row r="192" spans="1:29" x14ac:dyDescent="0.35">
      <c r="A192" t="s">
        <v>337</v>
      </c>
      <c r="B192" s="2">
        <v>45725</v>
      </c>
      <c r="C192" s="9">
        <f t="shared" si="10"/>
        <v>45725</v>
      </c>
      <c r="D192" t="s">
        <v>19</v>
      </c>
      <c r="E192" t="str">
        <v>Jakarta</v>
      </c>
      <c r="F192" t="s">
        <v>20</v>
      </c>
      <c r="G192" t="s">
        <v>103</v>
      </c>
      <c r="H192" t="str">
        <v>Video Podcast</v>
      </c>
      <c r="I192" t="s">
        <v>112</v>
      </c>
      <c r="J192" t="str">
        <v>Marketplace</v>
      </c>
      <c r="K192" t="s">
        <v>71</v>
      </c>
      <c r="L192">
        <v>1</v>
      </c>
      <c r="M192">
        <v>1</v>
      </c>
      <c r="N192" t="s">
        <v>55</v>
      </c>
      <c r="O192" s="7">
        <v>160000</v>
      </c>
      <c r="P192" s="7">
        <v>8000</v>
      </c>
      <c r="Q192" s="7">
        <v>152000</v>
      </c>
      <c r="R192" s="7">
        <f t="shared" si="11"/>
        <v>152000</v>
      </c>
      <c r="S192" t="s">
        <v>42</v>
      </c>
      <c r="T192" t="str">
        <f t="shared" si="12"/>
        <v>E-Wallet</v>
      </c>
      <c r="U192" t="s">
        <v>56</v>
      </c>
      <c r="V192">
        <v>5</v>
      </c>
      <c r="W192">
        <f t="shared" si="13"/>
        <v>5</v>
      </c>
      <c r="Y192" t="str">
        <f t="shared" si="14"/>
        <v/>
      </c>
      <c r="Z192" t="s">
        <v>43</v>
      </c>
      <c r="AA192" t="s">
        <v>49</v>
      </c>
      <c r="AC192" t="str">
        <f>IF(COUNTIF($A:$A,A192)&gt;1,"Duplicate","Unique")</f>
        <v>Unique</v>
      </c>
    </row>
    <row r="193" spans="1:29" x14ac:dyDescent="0.35">
      <c r="A193" t="s">
        <v>338</v>
      </c>
      <c r="B193" s="2">
        <v>45925</v>
      </c>
      <c r="C193" s="9">
        <f t="shared" si="10"/>
        <v>45925</v>
      </c>
      <c r="D193" t="s">
        <v>69</v>
      </c>
      <c r="E193" t="str">
        <v>Yogyakarta</v>
      </c>
      <c r="F193" t="s">
        <v>59</v>
      </c>
      <c r="G193" t="s">
        <v>38</v>
      </c>
      <c r="H193" t="str">
        <v>Podcast Recording</v>
      </c>
      <c r="I193" t="s">
        <v>112</v>
      </c>
      <c r="J193" t="str">
        <v>Marketplace</v>
      </c>
      <c r="K193" t="s">
        <v>66</v>
      </c>
      <c r="L193">
        <v>1</v>
      </c>
      <c r="M193">
        <v>1</v>
      </c>
      <c r="N193" t="s">
        <v>24</v>
      </c>
      <c r="O193" s="7">
        <v>140000</v>
      </c>
      <c r="P193" s="7">
        <v>7000</v>
      </c>
      <c r="Q193" s="7">
        <v>133000</v>
      </c>
      <c r="R193" s="7">
        <f t="shared" si="11"/>
        <v>133000</v>
      </c>
      <c r="S193" t="s">
        <v>78</v>
      </c>
      <c r="T193" t="str">
        <f t="shared" si="12"/>
        <v>Cash</v>
      </c>
      <c r="U193" t="s">
        <v>34</v>
      </c>
      <c r="V193">
        <v>4</v>
      </c>
      <c r="W193">
        <f t="shared" si="13"/>
        <v>4</v>
      </c>
      <c r="Y193" t="str">
        <f t="shared" si="14"/>
        <v/>
      </c>
      <c r="Z193" t="s">
        <v>72</v>
      </c>
      <c r="AC193" t="str">
        <f>IF(COUNTIF($A:$A,A193)&gt;1,"Duplicate","Unique")</f>
        <v>Unique</v>
      </c>
    </row>
    <row r="194" spans="1:29" x14ac:dyDescent="0.35">
      <c r="A194" t="s">
        <v>339</v>
      </c>
      <c r="B194" s="2">
        <v>45924</v>
      </c>
      <c r="C194" s="9">
        <f t="shared" si="10"/>
        <v>45924</v>
      </c>
      <c r="D194" t="s">
        <v>58</v>
      </c>
      <c r="E194" t="str">
        <v>Jakarta</v>
      </c>
      <c r="F194" t="s">
        <v>30</v>
      </c>
      <c r="G194" t="s">
        <v>21</v>
      </c>
      <c r="H194" t="str">
        <v>Content Batch</v>
      </c>
      <c r="I194" t="s">
        <v>39</v>
      </c>
      <c r="J194" t="str">
        <v>Website</v>
      </c>
      <c r="K194" t="s">
        <v>40</v>
      </c>
      <c r="L194">
        <v>2</v>
      </c>
      <c r="M194">
        <v>2</v>
      </c>
      <c r="N194" t="s">
        <v>41</v>
      </c>
      <c r="O194" s="7">
        <v>320000</v>
      </c>
      <c r="P194" s="7">
        <v>0</v>
      </c>
      <c r="Q194" s="7">
        <v>320000</v>
      </c>
      <c r="R194" s="7">
        <f t="shared" si="11"/>
        <v>320000</v>
      </c>
      <c r="S194" t="s">
        <v>25</v>
      </c>
      <c r="T194" t="str">
        <f t="shared" si="12"/>
        <v>Transfer</v>
      </c>
      <c r="U194" t="s">
        <v>34</v>
      </c>
      <c r="W194" t="str">
        <f t="shared" si="13"/>
        <v/>
      </c>
      <c r="Y194" t="str">
        <f t="shared" si="14"/>
        <v/>
      </c>
      <c r="Z194" t="s">
        <v>27</v>
      </c>
      <c r="AA194" t="s">
        <v>49</v>
      </c>
      <c r="AC194" t="str">
        <f>IF(COUNTIF($A:$A,A194)&gt;1,"Duplicate","Unique")</f>
        <v>Unique</v>
      </c>
    </row>
    <row r="195" spans="1:29" x14ac:dyDescent="0.35">
      <c r="A195" t="s">
        <v>340</v>
      </c>
      <c r="B195" s="2">
        <v>45815</v>
      </c>
      <c r="C195" s="9">
        <f t="shared" ref="C195:C258" si="15">IF(B195="","",IF(ISNUMBER(B195),INT(B195),IF(ISNUMBER(DATEVALUE(B195)),DATEVALUE(B195),"")))</f>
        <v>45815</v>
      </c>
      <c r="D195" t="s">
        <v>45</v>
      </c>
      <c r="E195" t="str">
        <v>Malang</v>
      </c>
      <c r="F195" t="s">
        <v>59</v>
      </c>
      <c r="G195" t="s">
        <v>21</v>
      </c>
      <c r="H195" t="str">
        <v>Content Batch</v>
      </c>
      <c r="I195" t="s">
        <v>74</v>
      </c>
      <c r="J195" t="str">
        <v>Referral</v>
      </c>
      <c r="K195" t="s">
        <v>23</v>
      </c>
      <c r="L195">
        <v>1</v>
      </c>
      <c r="M195">
        <v>1</v>
      </c>
      <c r="N195" t="s">
        <v>32</v>
      </c>
      <c r="O195" s="7">
        <v>190000</v>
      </c>
      <c r="P195" s="7">
        <v>28500</v>
      </c>
      <c r="Q195" s="7">
        <v>161500</v>
      </c>
      <c r="R195" s="7">
        <f t="shared" ref="R195:R258" si="16">IF(Q195="","",IF(ISNUMBER(Q195),Q195,VALUE(SUBSTITUTE(SUBSTITUTE(Q195,"RP ",""),",",""))))</f>
        <v>161500</v>
      </c>
      <c r="S195" t="s">
        <v>25</v>
      </c>
      <c r="T195" t="str">
        <f t="shared" ref="T195:T258" si="17">IF(S195="","",PROPER(TRIM(S195)))</f>
        <v>Transfer</v>
      </c>
      <c r="U195" t="s">
        <v>26</v>
      </c>
      <c r="V195">
        <v>4</v>
      </c>
      <c r="W195">
        <f t="shared" ref="W195:W258" si="18">IF(V195="","",VALUE(V195))</f>
        <v>4</v>
      </c>
      <c r="Y195" t="str">
        <f t="shared" ref="Y195:Y258" si="19">IF(U195="Cancelled",IF(X195="","Not Provided",X195), "")</f>
        <v>Not Provided</v>
      </c>
      <c r="Z195" t="s">
        <v>43</v>
      </c>
      <c r="AC195" t="str">
        <f>IF(COUNTIF($A:$A,A195)&gt;1,"Duplicate","Unique")</f>
        <v>Unique</v>
      </c>
    </row>
    <row r="196" spans="1:29" x14ac:dyDescent="0.35">
      <c r="A196" t="s">
        <v>341</v>
      </c>
      <c r="B196" s="2">
        <v>45965</v>
      </c>
      <c r="C196" s="9">
        <f t="shared" si="15"/>
        <v>45965</v>
      </c>
      <c r="D196" t="s">
        <v>69</v>
      </c>
      <c r="E196" t="str">
        <v>Yogyakarta</v>
      </c>
      <c r="F196" t="s">
        <v>20</v>
      </c>
      <c r="G196" t="s">
        <v>38</v>
      </c>
      <c r="H196" t="str">
        <v>Podcast Recording</v>
      </c>
      <c r="I196" t="s">
        <v>22</v>
      </c>
      <c r="J196" t="str">
        <v>Whatsapp</v>
      </c>
      <c r="K196" t="s">
        <v>23</v>
      </c>
      <c r="L196">
        <v>2</v>
      </c>
      <c r="M196">
        <v>2</v>
      </c>
      <c r="N196" t="s">
        <v>32</v>
      </c>
      <c r="O196" s="7">
        <v>270000</v>
      </c>
      <c r="P196" s="7">
        <v>27000</v>
      </c>
      <c r="Q196" s="7">
        <v>243000</v>
      </c>
      <c r="R196" s="7">
        <f t="shared" si="16"/>
        <v>243000</v>
      </c>
      <c r="S196" t="s">
        <v>25</v>
      </c>
      <c r="T196" t="str">
        <f t="shared" si="17"/>
        <v>Transfer</v>
      </c>
      <c r="U196" t="s">
        <v>26</v>
      </c>
      <c r="V196">
        <v>5</v>
      </c>
      <c r="W196">
        <f t="shared" si="18"/>
        <v>5</v>
      </c>
      <c r="X196" t="s">
        <v>85</v>
      </c>
      <c r="Y196" t="str">
        <f t="shared" si="19"/>
        <v>Budget issue</v>
      </c>
      <c r="Z196" t="s">
        <v>72</v>
      </c>
      <c r="AC196" t="str">
        <f>IF(COUNTIF($A:$A,A196)&gt;1,"Duplicate","Unique")</f>
        <v>Unique</v>
      </c>
    </row>
    <row r="197" spans="1:29" x14ac:dyDescent="0.35">
      <c r="A197" t="s">
        <v>342</v>
      </c>
      <c r="B197" t="s">
        <v>343</v>
      </c>
      <c r="C197" s="9">
        <f t="shared" si="15"/>
        <v>45964</v>
      </c>
      <c r="D197" t="s">
        <v>45</v>
      </c>
      <c r="E197" t="str">
        <v>Malang</v>
      </c>
      <c r="F197" t="s">
        <v>80</v>
      </c>
      <c r="G197" t="s">
        <v>21</v>
      </c>
      <c r="H197" t="str">
        <v>Content Batch</v>
      </c>
      <c r="I197" t="s">
        <v>39</v>
      </c>
      <c r="J197" t="str">
        <v>Website</v>
      </c>
      <c r="K197" t="s">
        <v>71</v>
      </c>
      <c r="L197" t="s">
        <v>88</v>
      </c>
      <c r="M197">
        <v>1</v>
      </c>
      <c r="N197" t="s">
        <v>24</v>
      </c>
      <c r="O197" s="7">
        <v>190000</v>
      </c>
      <c r="P197" s="7">
        <v>0</v>
      </c>
      <c r="Q197" s="7">
        <v>190000</v>
      </c>
      <c r="R197" s="7">
        <f t="shared" si="16"/>
        <v>190000</v>
      </c>
      <c r="S197" t="s">
        <v>25</v>
      </c>
      <c r="T197" t="str">
        <f t="shared" si="17"/>
        <v>Transfer</v>
      </c>
      <c r="U197" t="s">
        <v>34</v>
      </c>
      <c r="V197">
        <v>3</v>
      </c>
      <c r="W197">
        <f t="shared" si="18"/>
        <v>3</v>
      </c>
      <c r="Y197" t="str">
        <f t="shared" si="19"/>
        <v/>
      </c>
      <c r="Z197" t="s">
        <v>48</v>
      </c>
      <c r="AC197" t="str">
        <f>IF(COUNTIF($A:$A,A197)&gt;1,"Duplicate","Unique")</f>
        <v>Unique</v>
      </c>
    </row>
    <row r="198" spans="1:29" x14ac:dyDescent="0.35">
      <c r="A198" t="s">
        <v>344</v>
      </c>
      <c r="B198" s="2">
        <v>45956</v>
      </c>
      <c r="C198" s="9">
        <f t="shared" si="15"/>
        <v>45956</v>
      </c>
      <c r="D198" t="s">
        <v>53</v>
      </c>
      <c r="E198" t="str">
        <v>Surabaya</v>
      </c>
      <c r="F198" t="s">
        <v>59</v>
      </c>
      <c r="G198" t="s">
        <v>31</v>
      </c>
      <c r="H198" t="str">
        <v>Product Photoshoot</v>
      </c>
      <c r="I198" t="s">
        <v>39</v>
      </c>
      <c r="J198" t="str">
        <v>Website</v>
      </c>
      <c r="K198" t="s">
        <v>71</v>
      </c>
      <c r="L198">
        <v>2</v>
      </c>
      <c r="M198">
        <v>2</v>
      </c>
      <c r="N198" t="s">
        <v>24</v>
      </c>
      <c r="O198" s="7">
        <v>280000</v>
      </c>
      <c r="P198" s="7">
        <v>0</v>
      </c>
      <c r="Q198" s="7">
        <v>280000</v>
      </c>
      <c r="R198" s="7">
        <f t="shared" si="16"/>
        <v>280000</v>
      </c>
      <c r="S198" t="s">
        <v>78</v>
      </c>
      <c r="T198" t="str">
        <f t="shared" si="17"/>
        <v>Cash</v>
      </c>
      <c r="U198" t="s">
        <v>34</v>
      </c>
      <c r="V198">
        <v>4</v>
      </c>
      <c r="W198">
        <f t="shared" si="18"/>
        <v>4</v>
      </c>
      <c r="Y198" t="str">
        <f t="shared" si="19"/>
        <v/>
      </c>
      <c r="Z198" t="s">
        <v>43</v>
      </c>
      <c r="AA198" t="s">
        <v>96</v>
      </c>
      <c r="AC198" t="str">
        <f>IF(COUNTIF($A:$A,A198)&gt;1,"Duplicate","Unique")</f>
        <v>Unique</v>
      </c>
    </row>
    <row r="199" spans="1:29" x14ac:dyDescent="0.35">
      <c r="A199" t="s">
        <v>345</v>
      </c>
      <c r="B199" s="2">
        <v>45851</v>
      </c>
      <c r="C199" s="9">
        <f t="shared" si="15"/>
        <v>45851</v>
      </c>
      <c r="D199" t="s">
        <v>45</v>
      </c>
      <c r="E199" t="str">
        <v>Malang</v>
      </c>
      <c r="F199" t="s">
        <v>30</v>
      </c>
      <c r="G199" t="s">
        <v>103</v>
      </c>
      <c r="H199" t="str">
        <v>Video Podcast</v>
      </c>
      <c r="I199" t="s">
        <v>22</v>
      </c>
      <c r="J199" t="str">
        <v>Whatsapp</v>
      </c>
      <c r="K199" t="s">
        <v>66</v>
      </c>
      <c r="L199">
        <v>1</v>
      </c>
      <c r="M199">
        <v>1</v>
      </c>
      <c r="N199" t="s">
        <v>41</v>
      </c>
      <c r="O199" s="7">
        <v>160000</v>
      </c>
      <c r="P199" s="7">
        <v>0</v>
      </c>
      <c r="Q199" s="7">
        <v>160000</v>
      </c>
      <c r="R199" s="7">
        <f t="shared" si="16"/>
        <v>160000</v>
      </c>
      <c r="S199" t="s">
        <v>25</v>
      </c>
      <c r="T199" t="str">
        <f t="shared" si="17"/>
        <v>Transfer</v>
      </c>
      <c r="U199" t="s">
        <v>34</v>
      </c>
      <c r="V199">
        <v>4</v>
      </c>
      <c r="W199">
        <f t="shared" si="18"/>
        <v>4</v>
      </c>
      <c r="Y199" t="str">
        <f t="shared" si="19"/>
        <v/>
      </c>
      <c r="Z199" t="s">
        <v>43</v>
      </c>
      <c r="AA199" t="s">
        <v>94</v>
      </c>
      <c r="AC199" t="str">
        <f>IF(COUNTIF($A:$A,A199)&gt;1,"Duplicate","Unique")</f>
        <v>Unique</v>
      </c>
    </row>
    <row r="200" spans="1:29" x14ac:dyDescent="0.35">
      <c r="A200" t="s">
        <v>346</v>
      </c>
      <c r="B200" s="2">
        <v>46002</v>
      </c>
      <c r="C200" s="9">
        <f t="shared" si="15"/>
        <v>46002</v>
      </c>
      <c r="D200" t="s">
        <v>53</v>
      </c>
      <c r="E200" t="str">
        <v>Surabaya</v>
      </c>
      <c r="F200" t="s">
        <v>20</v>
      </c>
      <c r="G200" t="s">
        <v>90</v>
      </c>
      <c r="H200" t="str">
        <v>Voice Over</v>
      </c>
      <c r="I200" t="s">
        <v>39</v>
      </c>
      <c r="J200" t="str">
        <v>Website</v>
      </c>
      <c r="K200" t="s">
        <v>66</v>
      </c>
      <c r="L200">
        <v>1</v>
      </c>
      <c r="M200">
        <v>1</v>
      </c>
      <c r="N200" t="s">
        <v>55</v>
      </c>
      <c r="O200" s="7">
        <v>160000</v>
      </c>
      <c r="P200" s="7">
        <v>24000</v>
      </c>
      <c r="Q200" s="7">
        <v>136000</v>
      </c>
      <c r="R200" s="7">
        <f t="shared" si="16"/>
        <v>136000</v>
      </c>
      <c r="S200" t="s">
        <v>42</v>
      </c>
      <c r="T200" t="str">
        <f t="shared" si="17"/>
        <v>E-Wallet</v>
      </c>
      <c r="U200" t="s">
        <v>56</v>
      </c>
      <c r="V200">
        <v>5</v>
      </c>
      <c r="W200">
        <f t="shared" si="18"/>
        <v>5</v>
      </c>
      <c r="Y200" t="str">
        <f t="shared" si="19"/>
        <v/>
      </c>
      <c r="Z200" t="s">
        <v>72</v>
      </c>
      <c r="AC200" t="str">
        <f>IF(COUNTIF($A:$A,A200)&gt;1,"Duplicate","Unique")</f>
        <v>Unique</v>
      </c>
    </row>
    <row r="201" spans="1:29" x14ac:dyDescent="0.35">
      <c r="A201" t="s">
        <v>347</v>
      </c>
      <c r="B201" t="s">
        <v>348</v>
      </c>
      <c r="C201" s="9">
        <f t="shared" si="15"/>
        <v>46004</v>
      </c>
      <c r="D201" t="s">
        <v>69</v>
      </c>
      <c r="E201" t="str">
        <v>Yogyakarta</v>
      </c>
      <c r="F201" t="s">
        <v>80</v>
      </c>
      <c r="G201" t="s">
        <v>38</v>
      </c>
      <c r="H201" t="str">
        <v>Podcast Recording</v>
      </c>
      <c r="I201" t="s">
        <v>112</v>
      </c>
      <c r="J201" t="str">
        <v>Marketplace</v>
      </c>
      <c r="K201" t="s">
        <v>47</v>
      </c>
      <c r="L201">
        <v>1</v>
      </c>
      <c r="M201">
        <v>1</v>
      </c>
      <c r="N201" t="s">
        <v>32</v>
      </c>
      <c r="O201" s="7">
        <v>240000</v>
      </c>
      <c r="P201" s="7">
        <v>24000</v>
      </c>
      <c r="Q201" s="7">
        <v>216000</v>
      </c>
      <c r="R201" s="7">
        <f t="shared" si="16"/>
        <v>216000</v>
      </c>
      <c r="S201" t="s">
        <v>33</v>
      </c>
      <c r="T201" t="str">
        <f t="shared" si="17"/>
        <v>Virtual Account</v>
      </c>
      <c r="U201" t="s">
        <v>56</v>
      </c>
      <c r="W201" t="str">
        <f t="shared" si="18"/>
        <v/>
      </c>
      <c r="Y201" t="str">
        <f t="shared" si="19"/>
        <v/>
      </c>
      <c r="Z201" t="s">
        <v>48</v>
      </c>
      <c r="AC201" t="str">
        <f>IF(COUNTIF($A:$A,A201)&gt;1,"Duplicate","Unique")</f>
        <v>Unique</v>
      </c>
    </row>
    <row r="202" spans="1:29" x14ac:dyDescent="0.35">
      <c r="A202" t="s">
        <v>349</v>
      </c>
      <c r="B202" s="2">
        <v>45674</v>
      </c>
      <c r="C202" s="9">
        <f t="shared" si="15"/>
        <v>45674</v>
      </c>
      <c r="D202" t="s">
        <v>45</v>
      </c>
      <c r="E202" t="str">
        <v>Malang</v>
      </c>
      <c r="F202" t="s">
        <v>59</v>
      </c>
      <c r="G202" t="s">
        <v>99</v>
      </c>
      <c r="H202" t="str">
        <v>Live Streaming</v>
      </c>
      <c r="I202" t="s">
        <v>39</v>
      </c>
      <c r="J202" t="str">
        <v>Website</v>
      </c>
      <c r="K202" t="s">
        <v>66</v>
      </c>
      <c r="L202">
        <v>3</v>
      </c>
      <c r="M202">
        <v>3</v>
      </c>
      <c r="N202" t="s">
        <v>24</v>
      </c>
      <c r="O202" s="7">
        <v>420000</v>
      </c>
      <c r="P202" s="7">
        <v>0</v>
      </c>
      <c r="Q202" s="7">
        <v>420000</v>
      </c>
      <c r="R202" s="7">
        <f t="shared" si="16"/>
        <v>420000</v>
      </c>
      <c r="S202" t="s">
        <v>78</v>
      </c>
      <c r="T202" t="str">
        <f t="shared" si="17"/>
        <v>Cash</v>
      </c>
      <c r="U202" t="s">
        <v>34</v>
      </c>
      <c r="V202">
        <v>5</v>
      </c>
      <c r="W202">
        <f t="shared" si="18"/>
        <v>5</v>
      </c>
      <c r="Y202" t="str">
        <f t="shared" si="19"/>
        <v/>
      </c>
      <c r="Z202" t="s">
        <v>43</v>
      </c>
      <c r="AC202" t="str">
        <f>IF(COUNTIF($A:$A,A202)&gt;1,"Duplicate","Unique")</f>
        <v>Unique</v>
      </c>
    </row>
    <row r="203" spans="1:29" x14ac:dyDescent="0.35">
      <c r="A203" t="s">
        <v>350</v>
      </c>
      <c r="B203" t="s">
        <v>351</v>
      </c>
      <c r="C203" s="9">
        <f t="shared" si="15"/>
        <v>45765</v>
      </c>
      <c r="D203" t="s">
        <v>69</v>
      </c>
      <c r="E203" t="str">
        <v>Yogyakarta</v>
      </c>
      <c r="F203" t="s">
        <v>59</v>
      </c>
      <c r="G203" t="s">
        <v>31</v>
      </c>
      <c r="H203" t="str">
        <v>Product Photoshoot</v>
      </c>
      <c r="I203" t="s">
        <v>54</v>
      </c>
      <c r="J203" t="str">
        <v>Referral</v>
      </c>
      <c r="K203" t="s">
        <v>40</v>
      </c>
      <c r="L203">
        <v>3</v>
      </c>
      <c r="M203">
        <v>3</v>
      </c>
      <c r="N203" t="s">
        <v>55</v>
      </c>
      <c r="O203" s="7">
        <v>645000</v>
      </c>
      <c r="P203" s="7">
        <v>0</v>
      </c>
      <c r="Q203" s="7">
        <v>645000</v>
      </c>
      <c r="R203" s="7">
        <f t="shared" si="16"/>
        <v>645000</v>
      </c>
      <c r="S203" t="s">
        <v>42</v>
      </c>
      <c r="T203" t="str">
        <f t="shared" si="17"/>
        <v>E-Wallet</v>
      </c>
      <c r="U203" t="s">
        <v>56</v>
      </c>
      <c r="V203">
        <v>5</v>
      </c>
      <c r="W203">
        <f t="shared" si="18"/>
        <v>5</v>
      </c>
      <c r="Y203" t="str">
        <f t="shared" si="19"/>
        <v/>
      </c>
      <c r="Z203" t="s">
        <v>48</v>
      </c>
      <c r="AC203" t="str">
        <f>IF(COUNTIF($A:$A,A203)&gt;1,"Duplicate","Unique")</f>
        <v>Unique</v>
      </c>
    </row>
    <row r="204" spans="1:29" x14ac:dyDescent="0.35">
      <c r="A204" t="s">
        <v>352</v>
      </c>
      <c r="B204" s="2">
        <v>45931</v>
      </c>
      <c r="C204" s="9">
        <f t="shared" si="15"/>
        <v>45931</v>
      </c>
      <c r="D204" t="s">
        <v>53</v>
      </c>
      <c r="E204" t="str">
        <v>Surabaya</v>
      </c>
      <c r="F204" t="s">
        <v>30</v>
      </c>
      <c r="G204" t="s">
        <v>31</v>
      </c>
      <c r="H204" t="str">
        <v>Product Photoshoot</v>
      </c>
      <c r="I204" t="s">
        <v>22</v>
      </c>
      <c r="J204" t="str">
        <v>Whatsapp</v>
      </c>
      <c r="K204" t="s">
        <v>71</v>
      </c>
      <c r="L204">
        <v>1</v>
      </c>
      <c r="M204">
        <v>1</v>
      </c>
      <c r="N204" t="s">
        <v>55</v>
      </c>
      <c r="O204" s="7">
        <v>200000</v>
      </c>
      <c r="P204" s="7">
        <v>0</v>
      </c>
      <c r="Q204" s="7">
        <v>200000</v>
      </c>
      <c r="R204" s="7">
        <f t="shared" si="16"/>
        <v>200000</v>
      </c>
      <c r="S204" t="s">
        <v>25</v>
      </c>
      <c r="T204" t="str">
        <f t="shared" si="17"/>
        <v>Transfer</v>
      </c>
      <c r="U204" t="s">
        <v>34</v>
      </c>
      <c r="V204">
        <v>4</v>
      </c>
      <c r="W204">
        <f t="shared" si="18"/>
        <v>4</v>
      </c>
      <c r="Y204" t="str">
        <f t="shared" si="19"/>
        <v/>
      </c>
      <c r="Z204" t="s">
        <v>27</v>
      </c>
      <c r="AA204" t="s">
        <v>35</v>
      </c>
      <c r="AC204" t="str">
        <f>IF(COUNTIF($A:$A,A204)&gt;1,"Duplicate","Unique")</f>
        <v>Unique</v>
      </c>
    </row>
    <row r="205" spans="1:29" x14ac:dyDescent="0.35">
      <c r="A205" t="s">
        <v>353</v>
      </c>
      <c r="B205" s="2">
        <v>46005</v>
      </c>
      <c r="C205" s="9">
        <f t="shared" si="15"/>
        <v>46005</v>
      </c>
      <c r="D205" t="s">
        <v>45</v>
      </c>
      <c r="E205" t="str">
        <v>Malang</v>
      </c>
      <c r="F205" t="s">
        <v>46</v>
      </c>
      <c r="G205" t="s">
        <v>90</v>
      </c>
      <c r="H205" t="str">
        <v>Voice Over</v>
      </c>
      <c r="I205" t="s">
        <v>112</v>
      </c>
      <c r="J205" t="str">
        <v>Marketplace</v>
      </c>
      <c r="K205" t="s">
        <v>71</v>
      </c>
      <c r="L205">
        <v>1</v>
      </c>
      <c r="M205">
        <v>1</v>
      </c>
      <c r="N205" t="s">
        <v>32</v>
      </c>
      <c r="O205" s="7">
        <v>225000</v>
      </c>
      <c r="P205" s="7">
        <v>33750</v>
      </c>
      <c r="Q205" s="7">
        <v>191250</v>
      </c>
      <c r="R205" s="7">
        <f t="shared" si="16"/>
        <v>191250</v>
      </c>
      <c r="S205" t="s">
        <v>33</v>
      </c>
      <c r="T205" t="str">
        <f t="shared" si="17"/>
        <v>Virtual Account</v>
      </c>
      <c r="U205" t="s">
        <v>34</v>
      </c>
      <c r="V205">
        <v>4</v>
      </c>
      <c r="W205">
        <f t="shared" si="18"/>
        <v>4</v>
      </c>
      <c r="Y205" t="str">
        <f t="shared" si="19"/>
        <v/>
      </c>
      <c r="Z205" t="s">
        <v>72</v>
      </c>
      <c r="AC205" t="str">
        <f>IF(COUNTIF($A:$A,A205)&gt;1,"Duplicate","Unique")</f>
        <v>Unique</v>
      </c>
    </row>
    <row r="206" spans="1:29" x14ac:dyDescent="0.35">
      <c r="A206" t="s">
        <v>354</v>
      </c>
      <c r="B206" t="s">
        <v>355</v>
      </c>
      <c r="C206" s="9">
        <f t="shared" si="15"/>
        <v>45698</v>
      </c>
      <c r="D206" t="s">
        <v>37</v>
      </c>
      <c r="E206" t="str">
        <v>Bandung</v>
      </c>
      <c r="F206" t="s">
        <v>59</v>
      </c>
      <c r="G206" t="s">
        <v>103</v>
      </c>
      <c r="H206" t="str">
        <v>Video Podcast</v>
      </c>
      <c r="I206" t="s">
        <v>22</v>
      </c>
      <c r="J206" t="str">
        <v>Whatsapp</v>
      </c>
      <c r="K206" t="s">
        <v>40</v>
      </c>
      <c r="L206">
        <v>3</v>
      </c>
      <c r="M206">
        <v>3</v>
      </c>
      <c r="N206" t="s">
        <v>32</v>
      </c>
      <c r="O206" s="7">
        <v>570000</v>
      </c>
      <c r="P206" s="7">
        <v>0</v>
      </c>
      <c r="Q206" s="7">
        <v>570000</v>
      </c>
      <c r="R206" s="7">
        <f t="shared" si="16"/>
        <v>570000</v>
      </c>
      <c r="S206" t="s">
        <v>33</v>
      </c>
      <c r="T206" t="str">
        <f t="shared" si="17"/>
        <v>Virtual Account</v>
      </c>
      <c r="U206" t="s">
        <v>56</v>
      </c>
      <c r="V206">
        <v>4</v>
      </c>
      <c r="W206">
        <f t="shared" si="18"/>
        <v>4</v>
      </c>
      <c r="Y206" t="str">
        <f t="shared" si="19"/>
        <v/>
      </c>
      <c r="Z206" t="s">
        <v>72</v>
      </c>
      <c r="AA206" t="s">
        <v>35</v>
      </c>
      <c r="AC206" t="str">
        <f>IF(COUNTIF($A:$A,A206)&gt;1,"Duplicate","Unique")</f>
        <v>Unique</v>
      </c>
    </row>
    <row r="207" spans="1:29" x14ac:dyDescent="0.35">
      <c r="A207" t="s">
        <v>356</v>
      </c>
      <c r="B207" s="2">
        <v>45765</v>
      </c>
      <c r="C207" s="9">
        <f t="shared" si="15"/>
        <v>45765</v>
      </c>
      <c r="D207" t="s">
        <v>37</v>
      </c>
      <c r="E207" t="str">
        <v>Bandung</v>
      </c>
      <c r="F207" t="s">
        <v>30</v>
      </c>
      <c r="G207" t="s">
        <v>357</v>
      </c>
      <c r="H207" t="str">
        <v>Podcast Recording</v>
      </c>
      <c r="I207" t="s">
        <v>84</v>
      </c>
      <c r="J207" t="str">
        <v>Instagram</v>
      </c>
      <c r="K207" t="s">
        <v>47</v>
      </c>
      <c r="L207">
        <v>1</v>
      </c>
      <c r="M207">
        <v>1</v>
      </c>
      <c r="N207" t="s">
        <v>24</v>
      </c>
      <c r="O207" s="7">
        <v>125000</v>
      </c>
      <c r="P207" s="7">
        <v>6250</v>
      </c>
      <c r="Q207" s="7">
        <v>118750</v>
      </c>
      <c r="R207" s="7">
        <f t="shared" si="16"/>
        <v>118750</v>
      </c>
      <c r="S207" t="s">
        <v>78</v>
      </c>
      <c r="T207" t="str">
        <f t="shared" si="17"/>
        <v>Cash</v>
      </c>
      <c r="U207" t="s">
        <v>56</v>
      </c>
      <c r="V207">
        <v>5</v>
      </c>
      <c r="W207">
        <f t="shared" si="18"/>
        <v>5</v>
      </c>
      <c r="Y207" t="str">
        <f t="shared" si="19"/>
        <v/>
      </c>
      <c r="Z207" t="s">
        <v>60</v>
      </c>
      <c r="AA207" t="s">
        <v>35</v>
      </c>
      <c r="AC207" t="str">
        <f>IF(COUNTIF($A:$A,A207)&gt;1,"Duplicate","Unique")</f>
        <v>Unique</v>
      </c>
    </row>
    <row r="208" spans="1:29" x14ac:dyDescent="0.35">
      <c r="A208" t="s">
        <v>358</v>
      </c>
      <c r="B208" s="2">
        <v>45725</v>
      </c>
      <c r="C208" s="9">
        <f t="shared" si="15"/>
        <v>45725</v>
      </c>
      <c r="D208" t="s">
        <v>45</v>
      </c>
      <c r="E208" t="str">
        <v>Malang</v>
      </c>
      <c r="F208" t="s">
        <v>46</v>
      </c>
      <c r="G208" t="s">
        <v>38</v>
      </c>
      <c r="H208" t="str">
        <v>Podcast Recording</v>
      </c>
      <c r="I208" t="s">
        <v>84</v>
      </c>
      <c r="J208" t="str">
        <v>Instagram</v>
      </c>
      <c r="K208" t="s">
        <v>40</v>
      </c>
      <c r="L208">
        <v>2</v>
      </c>
      <c r="M208">
        <v>2</v>
      </c>
      <c r="N208" t="s">
        <v>41</v>
      </c>
      <c r="O208" s="7">
        <v>420000</v>
      </c>
      <c r="P208" s="7">
        <v>42000</v>
      </c>
      <c r="Q208" s="7">
        <v>378000</v>
      </c>
      <c r="R208" s="7">
        <f t="shared" si="16"/>
        <v>378000</v>
      </c>
      <c r="S208" t="s">
        <v>33</v>
      </c>
      <c r="T208" t="str">
        <f t="shared" si="17"/>
        <v>Virtual Account</v>
      </c>
      <c r="U208" t="s">
        <v>34</v>
      </c>
      <c r="V208">
        <v>4</v>
      </c>
      <c r="W208">
        <f t="shared" si="18"/>
        <v>4</v>
      </c>
      <c r="Y208" t="str">
        <f t="shared" si="19"/>
        <v/>
      </c>
      <c r="Z208" t="s">
        <v>27</v>
      </c>
      <c r="AC208" t="str">
        <f>IF(COUNTIF($A:$A,A208)&gt;1,"Duplicate","Unique")</f>
        <v>Unique</v>
      </c>
    </row>
    <row r="209" spans="1:29" x14ac:dyDescent="0.35">
      <c r="A209" t="s">
        <v>359</v>
      </c>
      <c r="B209" s="2">
        <v>45904</v>
      </c>
      <c r="C209" s="9">
        <f t="shared" si="15"/>
        <v>45904</v>
      </c>
      <c r="D209" t="s">
        <v>45</v>
      </c>
      <c r="E209" t="str">
        <v>Malang</v>
      </c>
      <c r="F209" t="s">
        <v>46</v>
      </c>
      <c r="G209" t="s">
        <v>38</v>
      </c>
      <c r="H209" t="str">
        <v>Podcast Recording</v>
      </c>
      <c r="I209" t="s">
        <v>54</v>
      </c>
      <c r="J209" t="str">
        <v>Referral</v>
      </c>
      <c r="K209" t="s">
        <v>40</v>
      </c>
      <c r="L209">
        <v>1</v>
      </c>
      <c r="M209">
        <v>1</v>
      </c>
      <c r="N209" t="s">
        <v>24</v>
      </c>
      <c r="O209" s="7">
        <v>175000</v>
      </c>
      <c r="P209" s="7">
        <v>0</v>
      </c>
      <c r="Q209" s="7">
        <v>175000</v>
      </c>
      <c r="R209" s="7">
        <f t="shared" si="16"/>
        <v>175000</v>
      </c>
      <c r="S209" t="s">
        <v>33</v>
      </c>
      <c r="T209" t="str">
        <f t="shared" si="17"/>
        <v>Virtual Account</v>
      </c>
      <c r="U209" t="s">
        <v>34</v>
      </c>
      <c r="V209">
        <v>5</v>
      </c>
      <c r="W209">
        <f t="shared" si="18"/>
        <v>5</v>
      </c>
      <c r="Y209" t="str">
        <f t="shared" si="19"/>
        <v/>
      </c>
      <c r="Z209" t="s">
        <v>48</v>
      </c>
      <c r="AA209" t="s">
        <v>35</v>
      </c>
      <c r="AC209" t="str">
        <f>IF(COUNTIF($A:$A,A209)&gt;1,"Duplicate","Unique")</f>
        <v>Unique</v>
      </c>
    </row>
    <row r="210" spans="1:29" x14ac:dyDescent="0.35">
      <c r="A210" t="s">
        <v>360</v>
      </c>
      <c r="B210" s="2">
        <v>45776</v>
      </c>
      <c r="C210" s="9">
        <f t="shared" si="15"/>
        <v>45776</v>
      </c>
      <c r="D210" t="s">
        <v>58</v>
      </c>
      <c r="E210" t="str">
        <v>Jakarta</v>
      </c>
      <c r="F210" t="s">
        <v>80</v>
      </c>
      <c r="G210" t="s">
        <v>31</v>
      </c>
      <c r="H210" t="str">
        <v>Product Photoshoot</v>
      </c>
      <c r="I210" t="s">
        <v>39</v>
      </c>
      <c r="J210" t="str">
        <v>Website</v>
      </c>
      <c r="K210" t="s">
        <v>66</v>
      </c>
      <c r="L210">
        <v>1</v>
      </c>
      <c r="M210">
        <v>1</v>
      </c>
      <c r="N210" t="s">
        <v>55</v>
      </c>
      <c r="O210" s="7">
        <v>265000</v>
      </c>
      <c r="P210" s="7">
        <v>39750</v>
      </c>
      <c r="Q210" s="7">
        <v>225250</v>
      </c>
      <c r="R210" s="7">
        <f t="shared" si="16"/>
        <v>225250</v>
      </c>
      <c r="S210" t="s">
        <v>78</v>
      </c>
      <c r="T210" t="str">
        <f t="shared" si="17"/>
        <v>Cash</v>
      </c>
      <c r="U210" t="s">
        <v>34</v>
      </c>
      <c r="V210">
        <v>5</v>
      </c>
      <c r="W210">
        <f t="shared" si="18"/>
        <v>5</v>
      </c>
      <c r="Y210" t="str">
        <f t="shared" si="19"/>
        <v/>
      </c>
      <c r="Z210" t="s">
        <v>48</v>
      </c>
      <c r="AA210" t="s">
        <v>94</v>
      </c>
      <c r="AC210" t="str">
        <f>IF(COUNTIF($A:$A,A210)&gt;1,"Duplicate","Unique")</f>
        <v>Unique</v>
      </c>
    </row>
    <row r="211" spans="1:29" x14ac:dyDescent="0.35">
      <c r="A211" t="s">
        <v>361</v>
      </c>
      <c r="B211" s="2">
        <v>45795</v>
      </c>
      <c r="C211" s="9">
        <f t="shared" si="15"/>
        <v>45795</v>
      </c>
      <c r="D211" t="s">
        <v>63</v>
      </c>
      <c r="E211" t="str">
        <v>Yogyakarta</v>
      </c>
      <c r="F211" t="s">
        <v>46</v>
      </c>
      <c r="G211" t="s">
        <v>357</v>
      </c>
      <c r="H211" t="str">
        <v>Podcast Recording</v>
      </c>
      <c r="I211" t="s">
        <v>39</v>
      </c>
      <c r="J211" t="str">
        <v>Website</v>
      </c>
      <c r="K211" t="s">
        <v>23</v>
      </c>
      <c r="L211">
        <v>2</v>
      </c>
      <c r="M211">
        <v>2</v>
      </c>
      <c r="N211" t="s">
        <v>41</v>
      </c>
      <c r="O211" s="7">
        <v>420000</v>
      </c>
      <c r="P211" s="7">
        <v>63000</v>
      </c>
      <c r="Q211" s="7">
        <v>357000</v>
      </c>
      <c r="R211" s="7">
        <f t="shared" si="16"/>
        <v>357000</v>
      </c>
      <c r="S211" t="s">
        <v>78</v>
      </c>
      <c r="T211" t="str">
        <f t="shared" si="17"/>
        <v>Cash</v>
      </c>
      <c r="U211" t="s">
        <v>56</v>
      </c>
      <c r="V211">
        <v>5</v>
      </c>
      <c r="W211">
        <f t="shared" si="18"/>
        <v>5</v>
      </c>
      <c r="Y211" t="str">
        <f t="shared" si="19"/>
        <v/>
      </c>
      <c r="Z211" t="s">
        <v>72</v>
      </c>
      <c r="AA211" t="s">
        <v>96</v>
      </c>
      <c r="AC211" t="str">
        <f>IF(COUNTIF($A:$A,A211)&gt;1,"Duplicate","Unique")</f>
        <v>Unique</v>
      </c>
    </row>
    <row r="212" spans="1:29" x14ac:dyDescent="0.35">
      <c r="A212" t="s">
        <v>362</v>
      </c>
      <c r="B212" t="s">
        <v>363</v>
      </c>
      <c r="C212" s="9">
        <f t="shared" si="15"/>
        <v>45777</v>
      </c>
      <c r="D212" t="s">
        <v>58</v>
      </c>
      <c r="E212" t="str">
        <v>Jakarta</v>
      </c>
      <c r="F212" t="s">
        <v>46</v>
      </c>
      <c r="G212" t="s">
        <v>357</v>
      </c>
      <c r="H212" t="str">
        <v>Podcast Recording</v>
      </c>
      <c r="I212" t="s">
        <v>54</v>
      </c>
      <c r="J212" t="str">
        <v>Referral</v>
      </c>
      <c r="K212" t="s">
        <v>23</v>
      </c>
      <c r="L212">
        <v>1</v>
      </c>
      <c r="M212">
        <v>1</v>
      </c>
      <c r="N212" t="s">
        <v>32</v>
      </c>
      <c r="O212" s="7">
        <v>225000</v>
      </c>
      <c r="P212" s="7">
        <v>33750</v>
      </c>
      <c r="Q212" s="7">
        <v>191250</v>
      </c>
      <c r="R212" s="7">
        <f t="shared" si="16"/>
        <v>191250</v>
      </c>
      <c r="S212" t="s">
        <v>33</v>
      </c>
      <c r="T212" t="str">
        <f t="shared" si="17"/>
        <v>Virtual Account</v>
      </c>
      <c r="U212" t="s">
        <v>34</v>
      </c>
      <c r="W212" t="str">
        <f t="shared" si="18"/>
        <v/>
      </c>
      <c r="Y212" t="str">
        <f t="shared" si="19"/>
        <v/>
      </c>
      <c r="Z212" t="s">
        <v>27</v>
      </c>
      <c r="AC212" t="str">
        <f>IF(COUNTIF($A:$A,A212)&gt;1,"Duplicate","Unique")</f>
        <v>Unique</v>
      </c>
    </row>
    <row r="213" spans="1:29" x14ac:dyDescent="0.35">
      <c r="A213" t="s">
        <v>364</v>
      </c>
      <c r="B213" s="2">
        <v>45853</v>
      </c>
      <c r="C213" s="9">
        <f t="shared" si="15"/>
        <v>45853</v>
      </c>
      <c r="D213" t="s">
        <v>58</v>
      </c>
      <c r="E213" t="str">
        <v>Jakarta</v>
      </c>
      <c r="F213" t="s">
        <v>20</v>
      </c>
      <c r="G213" t="s">
        <v>21</v>
      </c>
      <c r="H213" t="str">
        <v>Content Batch</v>
      </c>
      <c r="I213" t="s">
        <v>39</v>
      </c>
      <c r="J213" t="str">
        <v>Website</v>
      </c>
      <c r="K213" t="s">
        <v>66</v>
      </c>
      <c r="L213" t="s">
        <v>124</v>
      </c>
      <c r="M213">
        <v>3</v>
      </c>
      <c r="N213" t="s">
        <v>24</v>
      </c>
      <c r="O213" s="7">
        <v>255000</v>
      </c>
      <c r="P213" s="7">
        <v>0</v>
      </c>
      <c r="Q213" s="7">
        <v>255000</v>
      </c>
      <c r="R213" s="7">
        <f t="shared" si="16"/>
        <v>255000</v>
      </c>
      <c r="S213" t="s">
        <v>78</v>
      </c>
      <c r="T213" t="str">
        <f t="shared" si="17"/>
        <v>Cash</v>
      </c>
      <c r="U213" t="s">
        <v>34</v>
      </c>
      <c r="V213">
        <v>4</v>
      </c>
      <c r="W213">
        <f t="shared" si="18"/>
        <v>4</v>
      </c>
      <c r="Y213" t="str">
        <f t="shared" si="19"/>
        <v/>
      </c>
      <c r="Z213" t="s">
        <v>48</v>
      </c>
      <c r="AA213" t="s">
        <v>94</v>
      </c>
      <c r="AC213" t="str">
        <f>IF(COUNTIF($A:$A,A213)&gt;1,"Duplicate","Unique")</f>
        <v>Unique</v>
      </c>
    </row>
    <row r="214" spans="1:29" x14ac:dyDescent="0.35">
      <c r="A214" t="s">
        <v>365</v>
      </c>
      <c r="B214" s="2">
        <v>45720</v>
      </c>
      <c r="C214" s="9">
        <f t="shared" si="15"/>
        <v>45720</v>
      </c>
      <c r="D214" t="s">
        <v>142</v>
      </c>
      <c r="E214" t="str">
        <v>Surabaya</v>
      </c>
      <c r="F214" t="s">
        <v>30</v>
      </c>
      <c r="G214" t="s">
        <v>21</v>
      </c>
      <c r="H214" t="str">
        <v>Content Batch</v>
      </c>
      <c r="I214" t="s">
        <v>22</v>
      </c>
      <c r="J214" t="str">
        <v>Whatsapp</v>
      </c>
      <c r="K214" t="s">
        <v>23</v>
      </c>
      <c r="L214">
        <v>1</v>
      </c>
      <c r="M214">
        <v>1</v>
      </c>
      <c r="N214" t="s">
        <v>24</v>
      </c>
      <c r="O214" s="7">
        <v>125000</v>
      </c>
      <c r="P214" s="7">
        <v>0</v>
      </c>
      <c r="Q214" s="7">
        <v>125000</v>
      </c>
      <c r="R214" s="7">
        <f t="shared" si="16"/>
        <v>125000</v>
      </c>
      <c r="S214" t="s">
        <v>25</v>
      </c>
      <c r="T214" t="str">
        <f t="shared" si="17"/>
        <v>Transfer</v>
      </c>
      <c r="U214" t="s">
        <v>26</v>
      </c>
      <c r="V214">
        <v>5</v>
      </c>
      <c r="W214">
        <f t="shared" si="18"/>
        <v>5</v>
      </c>
      <c r="X214" t="s">
        <v>259</v>
      </c>
      <c r="Y214" t="str">
        <f t="shared" si="19"/>
        <v>Schedule conflict</v>
      </c>
      <c r="Z214" t="s">
        <v>48</v>
      </c>
      <c r="AC214" t="str">
        <f>IF(COUNTIF($A:$A,A214)&gt;1,"Duplicate","Unique")</f>
        <v>Unique</v>
      </c>
    </row>
    <row r="215" spans="1:29" x14ac:dyDescent="0.35">
      <c r="A215" t="s">
        <v>366</v>
      </c>
      <c r="B215" s="2">
        <v>45737</v>
      </c>
      <c r="C215" s="9">
        <f t="shared" si="15"/>
        <v>45737</v>
      </c>
      <c r="D215" t="s">
        <v>53</v>
      </c>
      <c r="E215" t="str">
        <v>Surabaya</v>
      </c>
      <c r="F215" t="s">
        <v>20</v>
      </c>
      <c r="G215" t="s">
        <v>103</v>
      </c>
      <c r="H215" t="str">
        <v>Video Podcast</v>
      </c>
      <c r="I215" t="s">
        <v>39</v>
      </c>
      <c r="J215" t="str">
        <v>Website</v>
      </c>
      <c r="K215" t="s">
        <v>66</v>
      </c>
      <c r="L215">
        <v>1</v>
      </c>
      <c r="M215">
        <v>1</v>
      </c>
      <c r="N215" t="s">
        <v>24</v>
      </c>
      <c r="O215" s="7">
        <v>85000</v>
      </c>
      <c r="P215" s="7">
        <v>0</v>
      </c>
      <c r="Q215" s="7">
        <v>85000</v>
      </c>
      <c r="R215" s="7">
        <f t="shared" si="16"/>
        <v>85000</v>
      </c>
      <c r="S215" t="s">
        <v>33</v>
      </c>
      <c r="T215" t="str">
        <f t="shared" si="17"/>
        <v>Virtual Account</v>
      </c>
      <c r="U215" t="s">
        <v>26</v>
      </c>
      <c r="V215">
        <v>5</v>
      </c>
      <c r="W215">
        <f t="shared" si="18"/>
        <v>5</v>
      </c>
      <c r="Y215" t="str">
        <f t="shared" si="19"/>
        <v>Not Provided</v>
      </c>
      <c r="Z215" t="s">
        <v>43</v>
      </c>
      <c r="AA215" t="s">
        <v>94</v>
      </c>
      <c r="AC215" t="str">
        <f>IF(COUNTIF($A:$A,A215)&gt;1,"Duplicate","Unique")</f>
        <v>Unique</v>
      </c>
    </row>
    <row r="216" spans="1:29" x14ac:dyDescent="0.35">
      <c r="A216" t="s">
        <v>367</v>
      </c>
      <c r="B216" t="s">
        <v>368</v>
      </c>
      <c r="C216" s="9">
        <f t="shared" si="15"/>
        <v>45841</v>
      </c>
      <c r="D216" t="s">
        <v>37</v>
      </c>
      <c r="E216" t="str">
        <v>Bandung</v>
      </c>
      <c r="F216" t="s">
        <v>59</v>
      </c>
      <c r="G216" t="s">
        <v>38</v>
      </c>
      <c r="H216" t="str">
        <v>Podcast Recording</v>
      </c>
      <c r="I216" t="s">
        <v>74</v>
      </c>
      <c r="J216" t="str">
        <v>Referral</v>
      </c>
      <c r="K216" t="s">
        <v>66</v>
      </c>
      <c r="L216">
        <v>2</v>
      </c>
      <c r="M216">
        <v>2</v>
      </c>
      <c r="N216" t="s">
        <v>55</v>
      </c>
      <c r="O216" s="7">
        <v>430000</v>
      </c>
      <c r="P216" s="7">
        <v>43000</v>
      </c>
      <c r="Q216" s="7">
        <v>387000</v>
      </c>
      <c r="R216" s="7">
        <f t="shared" si="16"/>
        <v>387000</v>
      </c>
      <c r="S216" t="s">
        <v>78</v>
      </c>
      <c r="T216" t="str">
        <f t="shared" si="17"/>
        <v>Cash</v>
      </c>
      <c r="U216" t="s">
        <v>34</v>
      </c>
      <c r="V216">
        <v>4</v>
      </c>
      <c r="W216">
        <f t="shared" si="18"/>
        <v>4</v>
      </c>
      <c r="Y216" t="str">
        <f t="shared" si="19"/>
        <v/>
      </c>
      <c r="Z216" t="s">
        <v>27</v>
      </c>
      <c r="AC216" t="str">
        <f>IF(COUNTIF($A:$A,A216)&gt;1,"Duplicate","Unique")</f>
        <v>Unique</v>
      </c>
    </row>
    <row r="217" spans="1:29" x14ac:dyDescent="0.35">
      <c r="A217" t="s">
        <v>369</v>
      </c>
      <c r="B217" s="2">
        <v>45890</v>
      </c>
      <c r="C217" s="9">
        <f t="shared" si="15"/>
        <v>45890</v>
      </c>
      <c r="D217" t="s">
        <v>58</v>
      </c>
      <c r="E217" t="str">
        <v>Jakarta</v>
      </c>
      <c r="F217" t="s">
        <v>80</v>
      </c>
      <c r="G217" t="s">
        <v>99</v>
      </c>
      <c r="H217" t="str">
        <v>Live Streaming</v>
      </c>
      <c r="I217" t="s">
        <v>39</v>
      </c>
      <c r="J217" t="str">
        <v>Website</v>
      </c>
      <c r="K217" t="s">
        <v>47</v>
      </c>
      <c r="L217">
        <v>1</v>
      </c>
      <c r="M217">
        <v>1</v>
      </c>
      <c r="N217" t="s">
        <v>41</v>
      </c>
      <c r="O217" s="7">
        <v>225000</v>
      </c>
      <c r="P217" s="7">
        <v>33750</v>
      </c>
      <c r="Q217" s="7">
        <v>191250</v>
      </c>
      <c r="R217" s="7">
        <f t="shared" si="16"/>
        <v>191250</v>
      </c>
      <c r="S217" t="s">
        <v>33</v>
      </c>
      <c r="T217" t="str">
        <f t="shared" si="17"/>
        <v>Virtual Account</v>
      </c>
      <c r="U217" t="s">
        <v>56</v>
      </c>
      <c r="V217">
        <v>3</v>
      </c>
      <c r="W217">
        <f t="shared" si="18"/>
        <v>3</v>
      </c>
      <c r="Y217" t="str">
        <f t="shared" si="19"/>
        <v/>
      </c>
      <c r="Z217" t="s">
        <v>72</v>
      </c>
      <c r="AA217" t="s">
        <v>94</v>
      </c>
      <c r="AC217" t="str">
        <f>IF(COUNTIF($A:$A,A217)&gt;1,"Duplicate","Unique")</f>
        <v>Unique</v>
      </c>
    </row>
    <row r="218" spans="1:29" x14ac:dyDescent="0.35">
      <c r="A218" t="s">
        <v>370</v>
      </c>
      <c r="B218" s="2">
        <v>45680</v>
      </c>
      <c r="C218" s="9">
        <f t="shared" si="15"/>
        <v>45680</v>
      </c>
      <c r="D218" t="s">
        <v>29</v>
      </c>
      <c r="E218" t="str">
        <v>Bandung</v>
      </c>
      <c r="F218" t="s">
        <v>46</v>
      </c>
      <c r="G218" t="s">
        <v>38</v>
      </c>
      <c r="H218" t="str">
        <v>Podcast Recording</v>
      </c>
      <c r="I218" t="s">
        <v>320</v>
      </c>
      <c r="J218" t="str">
        <v>Website</v>
      </c>
      <c r="K218" t="s">
        <v>47</v>
      </c>
      <c r="L218">
        <v>2</v>
      </c>
      <c r="M218">
        <v>2</v>
      </c>
      <c r="N218" t="s">
        <v>32</v>
      </c>
      <c r="O218" s="7">
        <v>450000</v>
      </c>
      <c r="P218" s="7">
        <v>67500</v>
      </c>
      <c r="Q218" s="7">
        <v>382500</v>
      </c>
      <c r="R218" s="7">
        <f t="shared" si="16"/>
        <v>382500</v>
      </c>
      <c r="S218" t="s">
        <v>25</v>
      </c>
      <c r="T218" t="str">
        <f t="shared" si="17"/>
        <v>Transfer</v>
      </c>
      <c r="U218" t="s">
        <v>34</v>
      </c>
      <c r="V218">
        <v>4</v>
      </c>
      <c r="W218">
        <f t="shared" si="18"/>
        <v>4</v>
      </c>
      <c r="Y218" t="str">
        <f t="shared" si="19"/>
        <v/>
      </c>
      <c r="Z218" t="s">
        <v>43</v>
      </c>
      <c r="AA218" t="s">
        <v>49</v>
      </c>
      <c r="AC218" t="str">
        <f>IF(COUNTIF($A:$A,A218)&gt;1,"Duplicate","Unique")</f>
        <v>Unique</v>
      </c>
    </row>
    <row r="219" spans="1:29" x14ac:dyDescent="0.35">
      <c r="A219" t="s">
        <v>371</v>
      </c>
      <c r="B219" s="2">
        <v>45985</v>
      </c>
      <c r="C219" s="9">
        <f t="shared" si="15"/>
        <v>45985</v>
      </c>
      <c r="D219" t="s">
        <v>58</v>
      </c>
      <c r="E219" t="str">
        <v>Jakarta</v>
      </c>
      <c r="F219" t="s">
        <v>59</v>
      </c>
      <c r="G219" t="s">
        <v>151</v>
      </c>
      <c r="H219" t="str">
        <v>Voice Over</v>
      </c>
      <c r="I219" t="s">
        <v>54</v>
      </c>
      <c r="J219" t="str">
        <v>Referral</v>
      </c>
      <c r="K219" t="s">
        <v>40</v>
      </c>
      <c r="L219">
        <v>1</v>
      </c>
      <c r="M219">
        <v>1</v>
      </c>
      <c r="N219" t="s">
        <v>24</v>
      </c>
      <c r="O219" s="7">
        <v>140000</v>
      </c>
      <c r="P219" s="7">
        <v>21000</v>
      </c>
      <c r="Q219" s="7">
        <v>119000</v>
      </c>
      <c r="R219" s="7">
        <f t="shared" si="16"/>
        <v>119000</v>
      </c>
      <c r="S219" t="s">
        <v>25</v>
      </c>
      <c r="T219" t="str">
        <f t="shared" si="17"/>
        <v>Transfer</v>
      </c>
      <c r="U219" t="s">
        <v>56</v>
      </c>
      <c r="V219">
        <v>3</v>
      </c>
      <c r="W219">
        <f t="shared" si="18"/>
        <v>3</v>
      </c>
      <c r="Y219" t="str">
        <f t="shared" si="19"/>
        <v/>
      </c>
      <c r="Z219" t="s">
        <v>60</v>
      </c>
      <c r="AA219" t="s">
        <v>35</v>
      </c>
      <c r="AC219" t="str">
        <f>IF(COUNTIF($A:$A,A219)&gt;1,"Duplicate","Unique")</f>
        <v>Unique</v>
      </c>
    </row>
    <row r="220" spans="1:29" x14ac:dyDescent="0.35">
      <c r="A220" t="s">
        <v>372</v>
      </c>
      <c r="B220" s="2">
        <v>45943</v>
      </c>
      <c r="C220" s="9">
        <f t="shared" si="15"/>
        <v>45943</v>
      </c>
      <c r="D220" t="s">
        <v>45</v>
      </c>
      <c r="E220" t="str">
        <v>Malang</v>
      </c>
      <c r="F220" t="s">
        <v>30</v>
      </c>
      <c r="G220" t="s">
        <v>21</v>
      </c>
      <c r="H220" t="str">
        <v>Content Batch</v>
      </c>
      <c r="I220" t="s">
        <v>84</v>
      </c>
      <c r="J220" t="str">
        <v>Instagram</v>
      </c>
      <c r="K220" t="s">
        <v>71</v>
      </c>
      <c r="L220">
        <v>3</v>
      </c>
      <c r="M220">
        <v>3</v>
      </c>
      <c r="N220" t="s">
        <v>32</v>
      </c>
      <c r="O220" s="7">
        <v>525000</v>
      </c>
      <c r="P220" s="7">
        <v>0</v>
      </c>
      <c r="Q220" s="7">
        <v>525000</v>
      </c>
      <c r="R220" s="7">
        <f t="shared" si="16"/>
        <v>525000</v>
      </c>
      <c r="S220" t="s">
        <v>78</v>
      </c>
      <c r="T220" t="str">
        <f t="shared" si="17"/>
        <v>Cash</v>
      </c>
      <c r="U220" t="s">
        <v>26</v>
      </c>
      <c r="V220">
        <v>4</v>
      </c>
      <c r="W220">
        <f t="shared" si="18"/>
        <v>4</v>
      </c>
      <c r="X220" t="s">
        <v>183</v>
      </c>
      <c r="Y220" t="str">
        <f t="shared" si="19"/>
        <v>Technical issue</v>
      </c>
      <c r="Z220" t="s">
        <v>43</v>
      </c>
      <c r="AC220" t="str">
        <f>IF(COUNTIF($A:$A,A220)&gt;1,"Duplicate","Unique")</f>
        <v>Unique</v>
      </c>
    </row>
    <row r="221" spans="1:29" x14ac:dyDescent="0.35">
      <c r="A221" t="s">
        <v>373</v>
      </c>
      <c r="B221" t="s">
        <v>374</v>
      </c>
      <c r="C221" s="9">
        <f t="shared" si="15"/>
        <v>45982</v>
      </c>
      <c r="D221" t="s">
        <v>63</v>
      </c>
      <c r="E221" t="str">
        <v>Yogyakarta</v>
      </c>
      <c r="F221" t="s">
        <v>59</v>
      </c>
      <c r="G221" t="s">
        <v>151</v>
      </c>
      <c r="H221" t="str">
        <v>Voice Over</v>
      </c>
      <c r="I221" t="s">
        <v>39</v>
      </c>
      <c r="J221" t="str">
        <v>Website</v>
      </c>
      <c r="K221" t="s">
        <v>71</v>
      </c>
      <c r="L221" t="s">
        <v>124</v>
      </c>
      <c r="M221">
        <v>3</v>
      </c>
      <c r="N221" t="s">
        <v>41</v>
      </c>
      <c r="O221" s="7">
        <v>525000</v>
      </c>
      <c r="P221" s="7">
        <v>0</v>
      </c>
      <c r="Q221" s="7">
        <v>525000</v>
      </c>
      <c r="R221" s="7">
        <f t="shared" si="16"/>
        <v>525000</v>
      </c>
      <c r="S221" t="s">
        <v>78</v>
      </c>
      <c r="T221" t="str">
        <f t="shared" si="17"/>
        <v>Cash</v>
      </c>
      <c r="U221" t="s">
        <v>56</v>
      </c>
      <c r="V221">
        <v>4</v>
      </c>
      <c r="W221">
        <f t="shared" si="18"/>
        <v>4</v>
      </c>
      <c r="Y221" t="str">
        <f t="shared" si="19"/>
        <v/>
      </c>
      <c r="Z221" t="s">
        <v>72</v>
      </c>
      <c r="AA221" t="s">
        <v>96</v>
      </c>
      <c r="AC221" t="str">
        <f>IF(COUNTIF($A:$A,A221)&gt;1,"Duplicate","Unique")</f>
        <v>Unique</v>
      </c>
    </row>
    <row r="222" spans="1:29" x14ac:dyDescent="0.35">
      <c r="A222" t="s">
        <v>375</v>
      </c>
      <c r="B222" s="2">
        <v>45811</v>
      </c>
      <c r="C222" s="9">
        <f t="shared" si="15"/>
        <v>45811</v>
      </c>
      <c r="D222" t="s">
        <v>37</v>
      </c>
      <c r="E222" t="str">
        <v>Bandung</v>
      </c>
      <c r="F222" t="s">
        <v>46</v>
      </c>
      <c r="G222" t="s">
        <v>31</v>
      </c>
      <c r="H222" t="str">
        <v>Product Photoshoot</v>
      </c>
      <c r="I222" t="s">
        <v>84</v>
      </c>
      <c r="J222" t="str">
        <v>Instagram</v>
      </c>
      <c r="K222" t="s">
        <v>40</v>
      </c>
      <c r="L222" t="s">
        <v>88</v>
      </c>
      <c r="M222">
        <v>1</v>
      </c>
      <c r="N222" t="s">
        <v>32</v>
      </c>
      <c r="O222" s="7">
        <v>225000</v>
      </c>
      <c r="P222" s="7">
        <v>0</v>
      </c>
      <c r="Q222" s="7">
        <v>225000</v>
      </c>
      <c r="R222" s="7">
        <f t="shared" si="16"/>
        <v>225000</v>
      </c>
      <c r="S222" t="s">
        <v>42</v>
      </c>
      <c r="T222" t="str">
        <f t="shared" si="17"/>
        <v>E-Wallet</v>
      </c>
      <c r="U222" t="s">
        <v>34</v>
      </c>
      <c r="V222">
        <v>4</v>
      </c>
      <c r="W222">
        <f t="shared" si="18"/>
        <v>4</v>
      </c>
      <c r="Y222" t="str">
        <f t="shared" si="19"/>
        <v/>
      </c>
      <c r="Z222" t="s">
        <v>43</v>
      </c>
      <c r="AC222" t="str">
        <f>IF(COUNTIF($A:$A,A222)&gt;1,"Duplicate","Unique")</f>
        <v>Unique</v>
      </c>
    </row>
    <row r="223" spans="1:29" x14ac:dyDescent="0.35">
      <c r="A223" t="s">
        <v>376</v>
      </c>
      <c r="B223" s="2">
        <v>45746</v>
      </c>
      <c r="C223" s="9">
        <f t="shared" si="15"/>
        <v>45746</v>
      </c>
      <c r="D223" t="s">
        <v>69</v>
      </c>
      <c r="E223" t="str">
        <v>Yogyakarta</v>
      </c>
      <c r="F223" t="s">
        <v>80</v>
      </c>
      <c r="G223" t="s">
        <v>38</v>
      </c>
      <c r="H223" t="str">
        <v>Podcast Recording</v>
      </c>
      <c r="I223" t="s">
        <v>112</v>
      </c>
      <c r="J223" t="str">
        <v>Marketplace</v>
      </c>
      <c r="K223" t="s">
        <v>40</v>
      </c>
      <c r="L223" t="s">
        <v>104</v>
      </c>
      <c r="M223">
        <v>2</v>
      </c>
      <c r="N223" t="s">
        <v>24</v>
      </c>
      <c r="O223" s="7">
        <v>380000</v>
      </c>
      <c r="P223" s="7">
        <v>0</v>
      </c>
      <c r="Q223" s="7">
        <v>380000</v>
      </c>
      <c r="R223" s="7">
        <f t="shared" si="16"/>
        <v>380000</v>
      </c>
      <c r="T223" t="str">
        <f t="shared" si="17"/>
        <v/>
      </c>
      <c r="U223" t="s">
        <v>56</v>
      </c>
      <c r="W223" t="str">
        <f t="shared" si="18"/>
        <v/>
      </c>
      <c r="Y223" t="str">
        <f t="shared" si="19"/>
        <v/>
      </c>
      <c r="Z223" t="s">
        <v>43</v>
      </c>
      <c r="AC223" t="str">
        <f>IF(COUNTIF($A:$A,A223)&gt;1,"Duplicate","Unique")</f>
        <v>Unique</v>
      </c>
    </row>
    <row r="224" spans="1:29" x14ac:dyDescent="0.35">
      <c r="A224" t="s">
        <v>377</v>
      </c>
      <c r="B224" s="2">
        <v>45685</v>
      </c>
      <c r="C224" s="9">
        <f t="shared" si="15"/>
        <v>45685</v>
      </c>
      <c r="D224" t="s">
        <v>53</v>
      </c>
      <c r="E224" t="str">
        <v>Surabaya</v>
      </c>
      <c r="F224" t="s">
        <v>80</v>
      </c>
      <c r="G224" t="s">
        <v>38</v>
      </c>
      <c r="H224" t="str">
        <v>Podcast Recording</v>
      </c>
      <c r="I224" t="s">
        <v>22</v>
      </c>
      <c r="J224" t="str">
        <v>Whatsapp</v>
      </c>
      <c r="K224" t="s">
        <v>71</v>
      </c>
      <c r="L224" t="s">
        <v>124</v>
      </c>
      <c r="M224">
        <v>3</v>
      </c>
      <c r="N224" t="s">
        <v>55</v>
      </c>
      <c r="O224" s="7">
        <v>795000</v>
      </c>
      <c r="P224" s="7">
        <v>0</v>
      </c>
      <c r="Q224" s="7">
        <v>795000</v>
      </c>
      <c r="R224" s="7">
        <f t="shared" si="16"/>
        <v>795000</v>
      </c>
      <c r="S224" t="s">
        <v>33</v>
      </c>
      <c r="T224" t="str">
        <f t="shared" si="17"/>
        <v>Virtual Account</v>
      </c>
      <c r="U224" t="s">
        <v>56</v>
      </c>
      <c r="V224">
        <v>3</v>
      </c>
      <c r="W224">
        <f t="shared" si="18"/>
        <v>3</v>
      </c>
      <c r="Y224" t="str">
        <f t="shared" si="19"/>
        <v/>
      </c>
      <c r="Z224" t="s">
        <v>48</v>
      </c>
      <c r="AA224" t="s">
        <v>94</v>
      </c>
      <c r="AC224" t="str">
        <f>IF(COUNTIF($A:$A,A224)&gt;1,"Duplicate","Unique")</f>
        <v>Unique</v>
      </c>
    </row>
    <row r="225" spans="1:29" x14ac:dyDescent="0.35">
      <c r="A225" t="s">
        <v>378</v>
      </c>
      <c r="B225" s="2">
        <v>45683</v>
      </c>
      <c r="C225" s="9">
        <f t="shared" si="15"/>
        <v>45683</v>
      </c>
      <c r="D225" t="s">
        <v>45</v>
      </c>
      <c r="E225" t="str">
        <v>Malang</v>
      </c>
      <c r="F225" t="s">
        <v>30</v>
      </c>
      <c r="G225" t="s">
        <v>31</v>
      </c>
      <c r="H225" t="str">
        <v>Product Photoshoot</v>
      </c>
      <c r="I225" t="s">
        <v>84</v>
      </c>
      <c r="J225" t="str">
        <v>Instagram</v>
      </c>
      <c r="K225" t="s">
        <v>66</v>
      </c>
      <c r="L225">
        <v>2</v>
      </c>
      <c r="M225">
        <v>2</v>
      </c>
      <c r="N225" t="s">
        <v>55</v>
      </c>
      <c r="O225" s="7">
        <v>400000</v>
      </c>
      <c r="P225" s="7">
        <v>20000</v>
      </c>
      <c r="Q225" s="7">
        <v>380000</v>
      </c>
      <c r="R225" s="7">
        <f t="shared" si="16"/>
        <v>380000</v>
      </c>
      <c r="S225" t="s">
        <v>42</v>
      </c>
      <c r="T225" t="str">
        <f t="shared" si="17"/>
        <v>E-Wallet</v>
      </c>
      <c r="U225" t="s">
        <v>34</v>
      </c>
      <c r="V225">
        <v>4</v>
      </c>
      <c r="W225">
        <f t="shared" si="18"/>
        <v>4</v>
      </c>
      <c r="Y225" t="str">
        <f t="shared" si="19"/>
        <v/>
      </c>
      <c r="Z225" t="s">
        <v>43</v>
      </c>
      <c r="AA225" t="s">
        <v>94</v>
      </c>
      <c r="AC225" t="str">
        <f>IF(COUNTIF($A:$A,A225)&gt;1,"Duplicate","Unique")</f>
        <v>Unique</v>
      </c>
    </row>
    <row r="226" spans="1:29" x14ac:dyDescent="0.35">
      <c r="A226" t="s">
        <v>379</v>
      </c>
      <c r="B226" s="2">
        <v>45874</v>
      </c>
      <c r="C226" s="9">
        <f t="shared" si="15"/>
        <v>45874</v>
      </c>
      <c r="D226" t="s">
        <v>380</v>
      </c>
      <c r="E226" t="str">
        <v>Surabaya</v>
      </c>
      <c r="F226" t="s">
        <v>59</v>
      </c>
      <c r="G226" t="s">
        <v>103</v>
      </c>
      <c r="H226" t="str">
        <v>Video Podcast</v>
      </c>
      <c r="I226" t="s">
        <v>22</v>
      </c>
      <c r="J226" t="str">
        <v>Whatsapp</v>
      </c>
      <c r="K226" t="s">
        <v>40</v>
      </c>
      <c r="L226" t="s">
        <v>88</v>
      </c>
      <c r="M226">
        <v>1</v>
      </c>
      <c r="N226" t="s">
        <v>41</v>
      </c>
      <c r="O226" s="7">
        <v>175000</v>
      </c>
      <c r="P226" s="7">
        <v>17500</v>
      </c>
      <c r="Q226" s="7">
        <v>157500</v>
      </c>
      <c r="R226" s="7">
        <f t="shared" si="16"/>
        <v>157500</v>
      </c>
      <c r="S226" t="s">
        <v>25</v>
      </c>
      <c r="T226" t="str">
        <f t="shared" si="17"/>
        <v>Transfer</v>
      </c>
      <c r="U226" t="s">
        <v>34</v>
      </c>
      <c r="W226" t="str">
        <f t="shared" si="18"/>
        <v/>
      </c>
      <c r="Y226" t="str">
        <f t="shared" si="19"/>
        <v/>
      </c>
      <c r="Z226" t="s">
        <v>48</v>
      </c>
      <c r="AA226" t="s">
        <v>35</v>
      </c>
      <c r="AC226" t="str">
        <f>IF(COUNTIF($A:$A,A226)&gt;1,"Duplicate","Unique")</f>
        <v>Unique</v>
      </c>
    </row>
    <row r="227" spans="1:29" x14ac:dyDescent="0.35">
      <c r="A227" t="s">
        <v>381</v>
      </c>
      <c r="B227" s="2">
        <v>45733</v>
      </c>
      <c r="C227" s="9">
        <f t="shared" si="15"/>
        <v>45733</v>
      </c>
      <c r="D227" t="s">
        <v>53</v>
      </c>
      <c r="E227" t="str">
        <v>Surabaya</v>
      </c>
      <c r="F227" t="s">
        <v>20</v>
      </c>
      <c r="G227" t="s">
        <v>31</v>
      </c>
      <c r="H227" t="str">
        <v>Product Photoshoot</v>
      </c>
      <c r="I227" t="s">
        <v>84</v>
      </c>
      <c r="J227" t="str">
        <v>Instagram</v>
      </c>
      <c r="K227" t="s">
        <v>40</v>
      </c>
      <c r="L227">
        <v>1</v>
      </c>
      <c r="M227">
        <v>1</v>
      </c>
      <c r="N227" t="s">
        <v>55</v>
      </c>
      <c r="O227" s="7">
        <v>160000</v>
      </c>
      <c r="P227" s="7">
        <v>0</v>
      </c>
      <c r="Q227" s="7">
        <v>160000</v>
      </c>
      <c r="R227" s="7">
        <f t="shared" si="16"/>
        <v>160000</v>
      </c>
      <c r="S227" t="s">
        <v>25</v>
      </c>
      <c r="T227" t="str">
        <f t="shared" si="17"/>
        <v>Transfer</v>
      </c>
      <c r="U227" t="s">
        <v>34</v>
      </c>
      <c r="V227">
        <v>5</v>
      </c>
      <c r="W227">
        <f t="shared" si="18"/>
        <v>5</v>
      </c>
      <c r="Y227" t="str">
        <f t="shared" si="19"/>
        <v/>
      </c>
      <c r="Z227" t="s">
        <v>72</v>
      </c>
      <c r="AA227" t="s">
        <v>49</v>
      </c>
      <c r="AC227" t="str">
        <f>IF(COUNTIF($A:$A,A227)&gt;1,"Duplicate","Unique")</f>
        <v>Unique</v>
      </c>
    </row>
    <row r="228" spans="1:29" x14ac:dyDescent="0.35">
      <c r="A228" t="s">
        <v>382</v>
      </c>
      <c r="B228" s="2">
        <v>45803</v>
      </c>
      <c r="C228" s="9">
        <f t="shared" si="15"/>
        <v>45803</v>
      </c>
      <c r="D228" t="s">
        <v>37</v>
      </c>
      <c r="E228" t="str">
        <v>Bandung</v>
      </c>
      <c r="F228" t="s">
        <v>80</v>
      </c>
      <c r="G228" t="s">
        <v>31</v>
      </c>
      <c r="H228" t="str">
        <v>Product Photoshoot</v>
      </c>
      <c r="I228" t="s">
        <v>84</v>
      </c>
      <c r="J228" t="str">
        <v>Instagram</v>
      </c>
      <c r="K228" t="s">
        <v>66</v>
      </c>
      <c r="L228">
        <v>2</v>
      </c>
      <c r="M228">
        <v>2</v>
      </c>
      <c r="N228" t="s">
        <v>41</v>
      </c>
      <c r="O228" s="7">
        <v>450000</v>
      </c>
      <c r="P228" s="7">
        <v>67500</v>
      </c>
      <c r="Q228" s="7">
        <v>382500</v>
      </c>
      <c r="R228" s="7">
        <f t="shared" si="16"/>
        <v>382500</v>
      </c>
      <c r="S228" t="s">
        <v>25</v>
      </c>
      <c r="T228" t="str">
        <f t="shared" si="17"/>
        <v>Transfer</v>
      </c>
      <c r="U228" t="s">
        <v>34</v>
      </c>
      <c r="W228" t="str">
        <f t="shared" si="18"/>
        <v/>
      </c>
      <c r="Y228" t="str">
        <f t="shared" si="19"/>
        <v/>
      </c>
      <c r="Z228" t="s">
        <v>48</v>
      </c>
      <c r="AA228" t="s">
        <v>94</v>
      </c>
      <c r="AC228" t="str">
        <f>IF(COUNTIF($A:$A,A228)&gt;1,"Duplicate","Unique")</f>
        <v>Unique</v>
      </c>
    </row>
    <row r="229" spans="1:29" x14ac:dyDescent="0.35">
      <c r="A229" t="s">
        <v>383</v>
      </c>
      <c r="B229" s="2">
        <v>45930</v>
      </c>
      <c r="C229" s="9">
        <f t="shared" si="15"/>
        <v>45930</v>
      </c>
      <c r="D229" t="s">
        <v>155</v>
      </c>
      <c r="E229" t="str">
        <v>Jakarta</v>
      </c>
      <c r="F229" t="s">
        <v>46</v>
      </c>
      <c r="G229" t="s">
        <v>103</v>
      </c>
      <c r="H229" t="str">
        <v>Video Podcast</v>
      </c>
      <c r="I229" t="s">
        <v>112</v>
      </c>
      <c r="J229" t="str">
        <v>Marketplace</v>
      </c>
      <c r="K229" t="s">
        <v>66</v>
      </c>
      <c r="L229">
        <v>1</v>
      </c>
      <c r="M229">
        <v>1</v>
      </c>
      <c r="N229" t="s">
        <v>41</v>
      </c>
      <c r="O229" s="7">
        <v>210000</v>
      </c>
      <c r="P229" s="7">
        <v>0</v>
      </c>
      <c r="Q229" s="7">
        <v>210000</v>
      </c>
      <c r="R229" s="7">
        <f t="shared" si="16"/>
        <v>210000</v>
      </c>
      <c r="S229" t="s">
        <v>25</v>
      </c>
      <c r="T229" t="str">
        <f t="shared" si="17"/>
        <v>Transfer</v>
      </c>
      <c r="U229" t="s">
        <v>34</v>
      </c>
      <c r="V229">
        <v>4</v>
      </c>
      <c r="W229">
        <f t="shared" si="18"/>
        <v>4</v>
      </c>
      <c r="Y229" t="str">
        <f t="shared" si="19"/>
        <v/>
      </c>
      <c r="Z229" t="s">
        <v>27</v>
      </c>
      <c r="AA229" t="s">
        <v>96</v>
      </c>
      <c r="AC229" t="str">
        <f>IF(COUNTIF($A:$A,A229)&gt;1,"Duplicate","Unique")</f>
        <v>Unique</v>
      </c>
    </row>
    <row r="230" spans="1:29" x14ac:dyDescent="0.35">
      <c r="A230" t="s">
        <v>384</v>
      </c>
      <c r="B230" s="2">
        <v>45856</v>
      </c>
      <c r="C230" s="9">
        <f t="shared" si="15"/>
        <v>45856</v>
      </c>
      <c r="D230" t="s">
        <v>58</v>
      </c>
      <c r="E230" t="str">
        <v>Jakarta</v>
      </c>
      <c r="F230" t="s">
        <v>80</v>
      </c>
      <c r="G230" t="s">
        <v>31</v>
      </c>
      <c r="H230" t="str">
        <v>Product Photoshoot</v>
      </c>
      <c r="I230" t="s">
        <v>39</v>
      </c>
      <c r="J230" t="str">
        <v>Website</v>
      </c>
      <c r="K230" t="s">
        <v>23</v>
      </c>
      <c r="L230">
        <v>1</v>
      </c>
      <c r="M230">
        <v>1</v>
      </c>
      <c r="N230" t="s">
        <v>24</v>
      </c>
      <c r="O230" s="7">
        <v>190000</v>
      </c>
      <c r="P230" s="7">
        <v>28500</v>
      </c>
      <c r="Q230" s="7">
        <v>161500</v>
      </c>
      <c r="R230" s="7">
        <f t="shared" si="16"/>
        <v>161500</v>
      </c>
      <c r="S230" t="s">
        <v>78</v>
      </c>
      <c r="T230" t="str">
        <f t="shared" si="17"/>
        <v>Cash</v>
      </c>
      <c r="U230" t="s">
        <v>26</v>
      </c>
      <c r="V230">
        <v>4</v>
      </c>
      <c r="W230">
        <f t="shared" si="18"/>
        <v>4</v>
      </c>
      <c r="X230" t="s">
        <v>85</v>
      </c>
      <c r="Y230" t="str">
        <f t="shared" si="19"/>
        <v>Budget issue</v>
      </c>
      <c r="Z230" t="s">
        <v>60</v>
      </c>
      <c r="AA230" t="s">
        <v>94</v>
      </c>
      <c r="AC230" t="str">
        <f>IF(COUNTIF($A:$A,A230)&gt;1,"Duplicate","Unique")</f>
        <v>Unique</v>
      </c>
    </row>
    <row r="231" spans="1:29" x14ac:dyDescent="0.35">
      <c r="A231" t="s">
        <v>385</v>
      </c>
      <c r="B231" s="2">
        <v>45955</v>
      </c>
      <c r="C231" s="9">
        <f t="shared" si="15"/>
        <v>45955</v>
      </c>
      <c r="D231" t="s">
        <v>45</v>
      </c>
      <c r="E231" t="str">
        <v>Malang</v>
      </c>
      <c r="F231" t="s">
        <v>46</v>
      </c>
      <c r="G231" t="s">
        <v>103</v>
      </c>
      <c r="H231" t="str">
        <v>Video Podcast</v>
      </c>
      <c r="I231" t="s">
        <v>92</v>
      </c>
      <c r="J231" t="str">
        <v>Whatsapp</v>
      </c>
      <c r="K231" t="s">
        <v>71</v>
      </c>
      <c r="L231">
        <v>3</v>
      </c>
      <c r="M231">
        <v>3</v>
      </c>
      <c r="N231" t="s">
        <v>55</v>
      </c>
      <c r="O231" s="7">
        <v>750000</v>
      </c>
      <c r="P231" s="7">
        <v>0</v>
      </c>
      <c r="Q231" s="7">
        <v>750000</v>
      </c>
      <c r="R231" s="7">
        <f t="shared" si="16"/>
        <v>750000</v>
      </c>
      <c r="S231" t="s">
        <v>78</v>
      </c>
      <c r="T231" t="str">
        <f t="shared" si="17"/>
        <v>Cash</v>
      </c>
      <c r="U231" t="s">
        <v>34</v>
      </c>
      <c r="V231">
        <v>3</v>
      </c>
      <c r="W231">
        <f t="shared" si="18"/>
        <v>3</v>
      </c>
      <c r="Y231" t="str">
        <f t="shared" si="19"/>
        <v/>
      </c>
      <c r="Z231" t="s">
        <v>27</v>
      </c>
      <c r="AA231" t="s">
        <v>49</v>
      </c>
      <c r="AC231" t="str">
        <f>IF(COUNTIF($A:$A,A231)&gt;1,"Duplicate","Unique")</f>
        <v>Unique</v>
      </c>
    </row>
    <row r="232" spans="1:29" x14ac:dyDescent="0.35">
      <c r="A232" t="s">
        <v>386</v>
      </c>
      <c r="B232" s="2">
        <v>45735</v>
      </c>
      <c r="C232" s="9">
        <f t="shared" si="15"/>
        <v>45735</v>
      </c>
      <c r="D232" t="s">
        <v>37</v>
      </c>
      <c r="E232" t="str">
        <v>Bandung</v>
      </c>
      <c r="F232" t="s">
        <v>20</v>
      </c>
      <c r="G232" t="s">
        <v>103</v>
      </c>
      <c r="H232" t="str">
        <v>Video Podcast</v>
      </c>
      <c r="I232" t="s">
        <v>39</v>
      </c>
      <c r="J232" t="str">
        <v>Website</v>
      </c>
      <c r="K232" t="s">
        <v>47</v>
      </c>
      <c r="L232">
        <v>2</v>
      </c>
      <c r="M232">
        <v>2</v>
      </c>
      <c r="N232" t="s">
        <v>55</v>
      </c>
      <c r="O232" s="7">
        <v>320000</v>
      </c>
      <c r="P232" s="7">
        <v>32000</v>
      </c>
      <c r="Q232" s="7">
        <v>288000</v>
      </c>
      <c r="R232" s="7">
        <f t="shared" si="16"/>
        <v>288000</v>
      </c>
      <c r="S232" t="s">
        <v>33</v>
      </c>
      <c r="T232" t="str">
        <f t="shared" si="17"/>
        <v>Virtual Account</v>
      </c>
      <c r="U232" t="s">
        <v>56</v>
      </c>
      <c r="V232">
        <v>4</v>
      </c>
      <c r="W232">
        <f t="shared" si="18"/>
        <v>4</v>
      </c>
      <c r="Y232" t="str">
        <f t="shared" si="19"/>
        <v/>
      </c>
      <c r="Z232" t="s">
        <v>60</v>
      </c>
      <c r="AC232" t="str">
        <f>IF(COUNTIF($A:$A,A232)&gt;1,"Duplicate","Unique")</f>
        <v>Unique</v>
      </c>
    </row>
    <row r="233" spans="1:29" x14ac:dyDescent="0.35">
      <c r="A233" t="s">
        <v>387</v>
      </c>
      <c r="B233" s="2">
        <v>45741</v>
      </c>
      <c r="C233" s="9">
        <f t="shared" si="15"/>
        <v>45741</v>
      </c>
      <c r="D233" t="s">
        <v>37</v>
      </c>
      <c r="E233" t="str">
        <v>Bandung</v>
      </c>
      <c r="F233" t="s">
        <v>46</v>
      </c>
      <c r="G233" t="s">
        <v>38</v>
      </c>
      <c r="H233" t="str">
        <v>Podcast Recording</v>
      </c>
      <c r="I233" t="s">
        <v>54</v>
      </c>
      <c r="J233" t="str">
        <v>Referral</v>
      </c>
      <c r="K233" t="s">
        <v>47</v>
      </c>
      <c r="L233" t="s">
        <v>124</v>
      </c>
      <c r="M233">
        <v>3</v>
      </c>
      <c r="N233" t="s">
        <v>55</v>
      </c>
      <c r="O233" s="7">
        <v>750000</v>
      </c>
      <c r="P233" s="7">
        <v>0</v>
      </c>
      <c r="Q233" s="7">
        <v>750000</v>
      </c>
      <c r="R233" s="7">
        <f t="shared" si="16"/>
        <v>750000</v>
      </c>
      <c r="S233" t="s">
        <v>78</v>
      </c>
      <c r="T233" t="str">
        <f t="shared" si="17"/>
        <v>Cash</v>
      </c>
      <c r="U233" t="s">
        <v>34</v>
      </c>
      <c r="V233">
        <v>3</v>
      </c>
      <c r="W233">
        <f t="shared" si="18"/>
        <v>3</v>
      </c>
      <c r="Y233" t="str">
        <f t="shared" si="19"/>
        <v/>
      </c>
      <c r="Z233" t="s">
        <v>43</v>
      </c>
      <c r="AC233" t="str">
        <f>IF(COUNTIF($A:$A,A233)&gt;1,"Duplicate","Unique")</f>
        <v>Unique</v>
      </c>
    </row>
    <row r="234" spans="1:29" x14ac:dyDescent="0.35">
      <c r="A234" t="s">
        <v>388</v>
      </c>
      <c r="B234" s="2">
        <v>45818</v>
      </c>
      <c r="C234" s="9">
        <f t="shared" si="15"/>
        <v>45818</v>
      </c>
      <c r="D234" t="s">
        <v>69</v>
      </c>
      <c r="E234" t="str">
        <v>Yogyakarta</v>
      </c>
      <c r="F234" t="s">
        <v>80</v>
      </c>
      <c r="G234" t="s">
        <v>119</v>
      </c>
      <c r="H234" t="str">
        <v>Content Batch</v>
      </c>
      <c r="I234" t="s">
        <v>112</v>
      </c>
      <c r="J234" t="str">
        <v>Marketplace</v>
      </c>
      <c r="K234" t="s">
        <v>71</v>
      </c>
      <c r="L234">
        <v>1</v>
      </c>
      <c r="M234">
        <v>1</v>
      </c>
      <c r="N234" t="s">
        <v>32</v>
      </c>
      <c r="O234" s="7">
        <v>240000</v>
      </c>
      <c r="P234" s="7">
        <v>12000</v>
      </c>
      <c r="Q234" s="7">
        <v>228000</v>
      </c>
      <c r="R234" s="7">
        <f t="shared" si="16"/>
        <v>228000</v>
      </c>
      <c r="S234" t="s">
        <v>25</v>
      </c>
      <c r="T234" t="str">
        <f t="shared" si="17"/>
        <v>Transfer</v>
      </c>
      <c r="U234" t="s">
        <v>56</v>
      </c>
      <c r="W234" t="str">
        <f t="shared" si="18"/>
        <v/>
      </c>
      <c r="Y234" t="str">
        <f t="shared" si="19"/>
        <v/>
      </c>
      <c r="Z234" t="s">
        <v>27</v>
      </c>
      <c r="AC234" t="str">
        <f>IF(COUNTIF($A:$A,A234)&gt;1,"Duplicate","Unique")</f>
        <v>Unique</v>
      </c>
    </row>
    <row r="235" spans="1:29" x14ac:dyDescent="0.35">
      <c r="A235" t="s">
        <v>389</v>
      </c>
      <c r="B235" t="s">
        <v>390</v>
      </c>
      <c r="C235" s="9">
        <f t="shared" si="15"/>
        <v>45804</v>
      </c>
      <c r="D235" t="s">
        <v>123</v>
      </c>
      <c r="E235" t="str">
        <v>Yogyakarta</v>
      </c>
      <c r="F235" t="s">
        <v>46</v>
      </c>
      <c r="G235" t="s">
        <v>99</v>
      </c>
      <c r="H235" t="str">
        <v>Live Streaming</v>
      </c>
      <c r="I235" t="s">
        <v>22</v>
      </c>
      <c r="J235" t="str">
        <v>Whatsapp</v>
      </c>
      <c r="K235" t="s">
        <v>71</v>
      </c>
      <c r="L235">
        <v>4</v>
      </c>
      <c r="M235">
        <v>4</v>
      </c>
      <c r="N235" t="s">
        <v>32</v>
      </c>
      <c r="O235" s="7">
        <v>900000</v>
      </c>
      <c r="P235" s="7">
        <v>0</v>
      </c>
      <c r="Q235" s="7">
        <v>900000</v>
      </c>
      <c r="R235" s="7">
        <f t="shared" si="16"/>
        <v>900000</v>
      </c>
      <c r="S235" t="s">
        <v>42</v>
      </c>
      <c r="T235" t="str">
        <f t="shared" si="17"/>
        <v>E-Wallet</v>
      </c>
      <c r="U235" t="s">
        <v>34</v>
      </c>
      <c r="V235">
        <v>5</v>
      </c>
      <c r="W235">
        <f t="shared" si="18"/>
        <v>5</v>
      </c>
      <c r="Y235" t="str">
        <f t="shared" si="19"/>
        <v/>
      </c>
      <c r="Z235" t="s">
        <v>60</v>
      </c>
      <c r="AA235" t="s">
        <v>49</v>
      </c>
      <c r="AC235" t="str">
        <f>IF(COUNTIF($A:$A,A235)&gt;1,"Duplicate","Unique")</f>
        <v>Unique</v>
      </c>
    </row>
    <row r="236" spans="1:29" x14ac:dyDescent="0.35">
      <c r="A236" t="s">
        <v>391</v>
      </c>
      <c r="B236" t="s">
        <v>392</v>
      </c>
      <c r="C236" s="9">
        <f t="shared" si="15"/>
        <v>45890</v>
      </c>
      <c r="D236" t="s">
        <v>45</v>
      </c>
      <c r="E236" t="str">
        <v>Malang</v>
      </c>
      <c r="F236" t="s">
        <v>46</v>
      </c>
      <c r="G236" t="s">
        <v>99</v>
      </c>
      <c r="H236" t="str">
        <v>Live Streaming</v>
      </c>
      <c r="I236" t="s">
        <v>84</v>
      </c>
      <c r="J236" t="str">
        <v>Instagram</v>
      </c>
      <c r="K236" t="s">
        <v>40</v>
      </c>
      <c r="L236">
        <v>3</v>
      </c>
      <c r="M236">
        <v>3</v>
      </c>
      <c r="N236" t="s">
        <v>24</v>
      </c>
      <c r="O236" s="7">
        <v>525000</v>
      </c>
      <c r="P236" s="7">
        <v>0</v>
      </c>
      <c r="Q236" s="7">
        <v>525000</v>
      </c>
      <c r="R236" s="7">
        <f t="shared" si="16"/>
        <v>525000</v>
      </c>
      <c r="S236" t="s">
        <v>42</v>
      </c>
      <c r="T236" t="str">
        <f t="shared" si="17"/>
        <v>E-Wallet</v>
      </c>
      <c r="U236" t="s">
        <v>26</v>
      </c>
      <c r="V236">
        <v>3</v>
      </c>
      <c r="W236">
        <f t="shared" si="18"/>
        <v>3</v>
      </c>
      <c r="X236" t="s">
        <v>167</v>
      </c>
      <c r="Y236" t="str">
        <f t="shared" si="19"/>
        <v>No response</v>
      </c>
      <c r="Z236" t="s">
        <v>60</v>
      </c>
      <c r="AA236" t="s">
        <v>96</v>
      </c>
      <c r="AC236" t="str">
        <f>IF(COUNTIF($A:$A,A236)&gt;1,"Duplicate","Unique")</f>
        <v>Unique</v>
      </c>
    </row>
    <row r="237" spans="1:29" x14ac:dyDescent="0.35">
      <c r="A237" t="s">
        <v>393</v>
      </c>
      <c r="B237" t="s">
        <v>394</v>
      </c>
      <c r="C237" s="9">
        <f t="shared" si="15"/>
        <v>45829</v>
      </c>
      <c r="D237" t="s">
        <v>45</v>
      </c>
      <c r="E237" t="str">
        <v>Malang</v>
      </c>
      <c r="F237" t="s">
        <v>46</v>
      </c>
      <c r="G237" t="s">
        <v>116</v>
      </c>
      <c r="H237" t="str">
        <v>Video Podcast</v>
      </c>
      <c r="I237" t="s">
        <v>39</v>
      </c>
      <c r="J237" t="str">
        <v>Website</v>
      </c>
      <c r="K237" t="s">
        <v>23</v>
      </c>
      <c r="L237">
        <v>1</v>
      </c>
      <c r="M237">
        <v>1</v>
      </c>
      <c r="N237" t="s">
        <v>41</v>
      </c>
      <c r="O237" s="7">
        <v>210000</v>
      </c>
      <c r="P237" s="7">
        <v>31500</v>
      </c>
      <c r="Q237" s="7">
        <v>178500</v>
      </c>
      <c r="R237" s="7">
        <f t="shared" si="16"/>
        <v>178500</v>
      </c>
      <c r="S237" t="s">
        <v>25</v>
      </c>
      <c r="T237" t="str">
        <f t="shared" si="17"/>
        <v>Transfer</v>
      </c>
      <c r="U237" t="s">
        <v>34</v>
      </c>
      <c r="W237" t="str">
        <f t="shared" si="18"/>
        <v/>
      </c>
      <c r="Y237" t="str">
        <f t="shared" si="19"/>
        <v/>
      </c>
      <c r="Z237" t="s">
        <v>72</v>
      </c>
      <c r="AA237" t="s">
        <v>96</v>
      </c>
      <c r="AC237" t="str">
        <f>IF(COUNTIF($A:$A,A237)&gt;1,"Duplicate","Unique")</f>
        <v>Unique</v>
      </c>
    </row>
    <row r="238" spans="1:29" x14ac:dyDescent="0.35">
      <c r="A238" t="s">
        <v>395</v>
      </c>
      <c r="B238" t="s">
        <v>396</v>
      </c>
      <c r="C238" s="9">
        <f t="shared" si="15"/>
        <v>45969</v>
      </c>
      <c r="D238" t="s">
        <v>69</v>
      </c>
      <c r="E238" t="str">
        <v>Yogyakarta</v>
      </c>
      <c r="F238" t="s">
        <v>46</v>
      </c>
      <c r="G238" t="s">
        <v>87</v>
      </c>
      <c r="H238" t="str">
        <v>Video Podcast</v>
      </c>
      <c r="I238" t="s">
        <v>112</v>
      </c>
      <c r="J238" t="str">
        <v>Marketplace</v>
      </c>
      <c r="K238" t="s">
        <v>66</v>
      </c>
      <c r="L238">
        <v>2</v>
      </c>
      <c r="M238">
        <v>2</v>
      </c>
      <c r="N238" t="s">
        <v>24</v>
      </c>
      <c r="O238" s="7">
        <v>350000</v>
      </c>
      <c r="P238" s="7">
        <v>0</v>
      </c>
      <c r="Q238" s="7">
        <v>350000</v>
      </c>
      <c r="R238" s="7">
        <f t="shared" si="16"/>
        <v>350000</v>
      </c>
      <c r="S238" t="s">
        <v>78</v>
      </c>
      <c r="T238" t="str">
        <f t="shared" si="17"/>
        <v>Cash</v>
      </c>
      <c r="U238" t="s">
        <v>34</v>
      </c>
      <c r="V238">
        <v>5</v>
      </c>
      <c r="W238">
        <f t="shared" si="18"/>
        <v>5</v>
      </c>
      <c r="Y238" t="str">
        <f t="shared" si="19"/>
        <v/>
      </c>
      <c r="Z238" t="s">
        <v>48</v>
      </c>
      <c r="AC238" t="str">
        <f>IF(COUNTIF($A:$A,A238)&gt;1,"Duplicate","Unique")</f>
        <v>Unique</v>
      </c>
    </row>
    <row r="239" spans="1:29" x14ac:dyDescent="0.35">
      <c r="A239" t="s">
        <v>397</v>
      </c>
      <c r="B239" s="2">
        <v>45810</v>
      </c>
      <c r="C239" s="9">
        <f t="shared" si="15"/>
        <v>45810</v>
      </c>
      <c r="D239" t="s">
        <v>53</v>
      </c>
      <c r="E239" t="str">
        <v>Surabaya</v>
      </c>
      <c r="F239" t="s">
        <v>20</v>
      </c>
      <c r="G239" t="s">
        <v>38</v>
      </c>
      <c r="H239" t="str">
        <v>Podcast Recording</v>
      </c>
      <c r="I239" t="s">
        <v>313</v>
      </c>
      <c r="J239" t="str">
        <v>Instagram</v>
      </c>
      <c r="K239" t="s">
        <v>66</v>
      </c>
      <c r="L239">
        <v>1</v>
      </c>
      <c r="M239">
        <v>1</v>
      </c>
      <c r="N239" t="s">
        <v>55</v>
      </c>
      <c r="O239" s="7">
        <v>160000</v>
      </c>
      <c r="P239" s="7">
        <v>8000</v>
      </c>
      <c r="Q239" s="7">
        <v>152000</v>
      </c>
      <c r="R239" s="7">
        <f t="shared" si="16"/>
        <v>152000</v>
      </c>
      <c r="S239" t="s">
        <v>42</v>
      </c>
      <c r="T239" t="str">
        <f t="shared" si="17"/>
        <v>E-Wallet</v>
      </c>
      <c r="U239" t="s">
        <v>26</v>
      </c>
      <c r="V239">
        <v>5</v>
      </c>
      <c r="W239">
        <f t="shared" si="18"/>
        <v>5</v>
      </c>
      <c r="X239" t="s">
        <v>85</v>
      </c>
      <c r="Y239" t="str">
        <f t="shared" si="19"/>
        <v>Budget issue</v>
      </c>
      <c r="Z239" t="s">
        <v>27</v>
      </c>
      <c r="AC239" t="str">
        <f>IF(COUNTIF($A:$A,A239)&gt;1,"Duplicate","Unique")</f>
        <v>Unique</v>
      </c>
    </row>
    <row r="240" spans="1:29" x14ac:dyDescent="0.35">
      <c r="A240" t="s">
        <v>398</v>
      </c>
      <c r="B240" s="2">
        <v>45826</v>
      </c>
      <c r="C240" s="9">
        <f t="shared" si="15"/>
        <v>45826</v>
      </c>
      <c r="D240" t="s">
        <v>45</v>
      </c>
      <c r="E240" t="str">
        <v>Malang</v>
      </c>
      <c r="F240" t="s">
        <v>30</v>
      </c>
      <c r="G240" t="s">
        <v>90</v>
      </c>
      <c r="H240" t="str">
        <v>Voice Over</v>
      </c>
      <c r="I240" t="s">
        <v>39</v>
      </c>
      <c r="J240" t="str">
        <v>Website</v>
      </c>
      <c r="K240" t="s">
        <v>23</v>
      </c>
      <c r="L240">
        <v>3</v>
      </c>
      <c r="M240">
        <v>3</v>
      </c>
      <c r="N240" t="s">
        <v>24</v>
      </c>
      <c r="O240" s="7">
        <v>375000</v>
      </c>
      <c r="P240" s="7">
        <v>18750</v>
      </c>
      <c r="Q240" s="7">
        <v>356250</v>
      </c>
      <c r="R240" s="7">
        <f t="shared" si="16"/>
        <v>356250</v>
      </c>
      <c r="S240" t="s">
        <v>25</v>
      </c>
      <c r="T240" t="str">
        <f t="shared" si="17"/>
        <v>Transfer</v>
      </c>
      <c r="U240" t="s">
        <v>56</v>
      </c>
      <c r="V240">
        <v>5</v>
      </c>
      <c r="W240">
        <f t="shared" si="18"/>
        <v>5</v>
      </c>
      <c r="Y240" t="str">
        <f t="shared" si="19"/>
        <v/>
      </c>
      <c r="Z240" t="s">
        <v>43</v>
      </c>
      <c r="AA240" t="s">
        <v>94</v>
      </c>
      <c r="AC240" t="str">
        <f>IF(COUNTIF($A:$A,A240)&gt;1,"Duplicate","Unique")</f>
        <v>Unique</v>
      </c>
    </row>
    <row r="241" spans="1:29" x14ac:dyDescent="0.35">
      <c r="A241" t="s">
        <v>399</v>
      </c>
      <c r="B241" s="2">
        <v>45924</v>
      </c>
      <c r="C241" s="9">
        <f t="shared" si="15"/>
        <v>45924</v>
      </c>
      <c r="D241" t="s">
        <v>123</v>
      </c>
      <c r="E241" t="str">
        <v>Yogyakarta</v>
      </c>
      <c r="F241" t="s">
        <v>30</v>
      </c>
      <c r="G241" t="s">
        <v>103</v>
      </c>
      <c r="H241" t="str">
        <v>Video Podcast</v>
      </c>
      <c r="I241" t="s">
        <v>112</v>
      </c>
      <c r="J241" t="str">
        <v>Marketplace</v>
      </c>
      <c r="K241" t="s">
        <v>23</v>
      </c>
      <c r="L241">
        <v>1</v>
      </c>
      <c r="M241">
        <v>1</v>
      </c>
      <c r="N241" t="s">
        <v>24</v>
      </c>
      <c r="O241" s="7">
        <v>125000</v>
      </c>
      <c r="P241" s="7">
        <v>6250</v>
      </c>
      <c r="Q241" s="7">
        <v>118750</v>
      </c>
      <c r="R241" s="7">
        <f t="shared" si="16"/>
        <v>118750</v>
      </c>
      <c r="S241" t="s">
        <v>42</v>
      </c>
      <c r="T241" t="str">
        <f t="shared" si="17"/>
        <v>E-Wallet</v>
      </c>
      <c r="U241" t="s">
        <v>34</v>
      </c>
      <c r="V241">
        <v>5</v>
      </c>
      <c r="W241">
        <f t="shared" si="18"/>
        <v>5</v>
      </c>
      <c r="Y241" t="str">
        <f t="shared" si="19"/>
        <v/>
      </c>
      <c r="Z241" t="s">
        <v>72</v>
      </c>
      <c r="AA241" t="s">
        <v>35</v>
      </c>
      <c r="AC241" t="str">
        <f>IF(COUNTIF($A:$A,A241)&gt;1,"Duplicate","Unique")</f>
        <v>Unique</v>
      </c>
    </row>
    <row r="242" spans="1:29" x14ac:dyDescent="0.35">
      <c r="A242" t="s">
        <v>400</v>
      </c>
      <c r="B242" s="2">
        <v>45985</v>
      </c>
      <c r="C242" s="9">
        <f t="shared" si="15"/>
        <v>45985</v>
      </c>
      <c r="D242" t="s">
        <v>37</v>
      </c>
      <c r="E242" t="str">
        <v>Bandung</v>
      </c>
      <c r="F242" t="s">
        <v>59</v>
      </c>
      <c r="G242" t="s">
        <v>31</v>
      </c>
      <c r="H242" t="str">
        <v>Product Photoshoot</v>
      </c>
      <c r="I242" t="s">
        <v>84</v>
      </c>
      <c r="J242" t="str">
        <v>Instagram</v>
      </c>
      <c r="K242" t="s">
        <v>40</v>
      </c>
      <c r="L242" t="s">
        <v>88</v>
      </c>
      <c r="M242">
        <v>1</v>
      </c>
      <c r="N242" t="s">
        <v>41</v>
      </c>
      <c r="O242" s="7">
        <v>175000</v>
      </c>
      <c r="P242" s="7">
        <v>0</v>
      </c>
      <c r="Q242" s="7">
        <v>175000</v>
      </c>
      <c r="R242" s="7">
        <f t="shared" si="16"/>
        <v>175000</v>
      </c>
      <c r="S242" t="s">
        <v>33</v>
      </c>
      <c r="T242" t="str">
        <f t="shared" si="17"/>
        <v>Virtual Account</v>
      </c>
      <c r="U242" t="s">
        <v>34</v>
      </c>
      <c r="V242">
        <v>4</v>
      </c>
      <c r="W242">
        <f t="shared" si="18"/>
        <v>4</v>
      </c>
      <c r="Y242" t="str">
        <f t="shared" si="19"/>
        <v/>
      </c>
      <c r="Z242" t="s">
        <v>60</v>
      </c>
      <c r="AA242" t="s">
        <v>94</v>
      </c>
      <c r="AC242" t="str">
        <f>IF(COUNTIF($A:$A,A242)&gt;1,"Duplicate","Unique")</f>
        <v>Unique</v>
      </c>
    </row>
    <row r="243" spans="1:29" x14ac:dyDescent="0.35">
      <c r="A243" t="s">
        <v>401</v>
      </c>
      <c r="B243" t="s">
        <v>402</v>
      </c>
      <c r="C243" s="9">
        <f t="shared" si="15"/>
        <v>45979</v>
      </c>
      <c r="D243" t="s">
        <v>69</v>
      </c>
      <c r="E243" t="str">
        <v>Yogyakarta</v>
      </c>
      <c r="F243" t="s">
        <v>80</v>
      </c>
      <c r="G243" t="s">
        <v>31</v>
      </c>
      <c r="H243" t="str">
        <v>Product Photoshoot</v>
      </c>
      <c r="I243" t="s">
        <v>54</v>
      </c>
      <c r="J243" t="str">
        <v>Referral</v>
      </c>
      <c r="K243" t="s">
        <v>66</v>
      </c>
      <c r="L243">
        <v>1</v>
      </c>
      <c r="M243">
        <v>1</v>
      </c>
      <c r="N243" t="s">
        <v>41</v>
      </c>
      <c r="O243" s="7">
        <v>225000</v>
      </c>
      <c r="P243" s="7">
        <v>22500</v>
      </c>
      <c r="Q243" s="7">
        <v>202500</v>
      </c>
      <c r="R243" s="7">
        <f t="shared" si="16"/>
        <v>202500</v>
      </c>
      <c r="S243" t="s">
        <v>25</v>
      </c>
      <c r="T243" t="str">
        <f t="shared" si="17"/>
        <v>Transfer</v>
      </c>
      <c r="U243" t="s">
        <v>56</v>
      </c>
      <c r="V243">
        <v>5</v>
      </c>
      <c r="W243">
        <f t="shared" si="18"/>
        <v>5</v>
      </c>
      <c r="Y243" t="str">
        <f t="shared" si="19"/>
        <v/>
      </c>
      <c r="Z243" t="s">
        <v>60</v>
      </c>
      <c r="AC243" t="str">
        <f>IF(COUNTIF($A:$A,A243)&gt;1,"Duplicate","Unique")</f>
        <v>Unique</v>
      </c>
    </row>
    <row r="244" spans="1:29" x14ac:dyDescent="0.35">
      <c r="A244" t="s">
        <v>403</v>
      </c>
      <c r="B244" s="2">
        <v>45950</v>
      </c>
      <c r="C244" s="9">
        <f t="shared" si="15"/>
        <v>45950</v>
      </c>
      <c r="D244" t="s">
        <v>199</v>
      </c>
      <c r="E244" t="str">
        <v>Malang</v>
      </c>
      <c r="F244" t="s">
        <v>30</v>
      </c>
      <c r="G244" t="s">
        <v>103</v>
      </c>
      <c r="H244" t="str">
        <v>Video Podcast</v>
      </c>
      <c r="I244" t="s">
        <v>112</v>
      </c>
      <c r="J244" t="str">
        <v>Marketplace</v>
      </c>
      <c r="K244" t="s">
        <v>47</v>
      </c>
      <c r="L244">
        <v>4</v>
      </c>
      <c r="M244">
        <v>4</v>
      </c>
      <c r="N244" t="s">
        <v>41</v>
      </c>
      <c r="O244" s="7">
        <v>640000</v>
      </c>
      <c r="P244" s="7">
        <v>96000</v>
      </c>
      <c r="Q244" s="7">
        <v>544000</v>
      </c>
      <c r="R244" s="7">
        <f t="shared" si="16"/>
        <v>544000</v>
      </c>
      <c r="S244" t="s">
        <v>33</v>
      </c>
      <c r="T244" t="str">
        <f t="shared" si="17"/>
        <v>Virtual Account</v>
      </c>
      <c r="U244" t="s">
        <v>26</v>
      </c>
      <c r="V244">
        <v>3</v>
      </c>
      <c r="W244">
        <f t="shared" si="18"/>
        <v>3</v>
      </c>
      <c r="Y244" t="str">
        <f t="shared" si="19"/>
        <v>Not Provided</v>
      </c>
      <c r="Z244" t="s">
        <v>72</v>
      </c>
      <c r="AA244" t="s">
        <v>96</v>
      </c>
      <c r="AC244" t="str">
        <f>IF(COUNTIF($A:$A,A244)&gt;1,"Duplicate","Unique")</f>
        <v>Unique</v>
      </c>
    </row>
    <row r="245" spans="1:29" x14ac:dyDescent="0.35">
      <c r="A245" t="s">
        <v>404</v>
      </c>
      <c r="B245" s="2">
        <v>45761</v>
      </c>
      <c r="C245" s="9">
        <f t="shared" si="15"/>
        <v>45761</v>
      </c>
      <c r="D245" t="s">
        <v>58</v>
      </c>
      <c r="E245" t="str">
        <v>Jakarta</v>
      </c>
      <c r="F245" t="s">
        <v>30</v>
      </c>
      <c r="G245" t="s">
        <v>151</v>
      </c>
      <c r="H245" t="str">
        <v>Voice Over</v>
      </c>
      <c r="I245" t="s">
        <v>84</v>
      </c>
      <c r="J245" t="str">
        <v>Instagram</v>
      </c>
      <c r="K245" t="s">
        <v>66</v>
      </c>
      <c r="L245">
        <v>1</v>
      </c>
      <c r="M245">
        <v>1</v>
      </c>
      <c r="N245" t="s">
        <v>32</v>
      </c>
      <c r="O245" s="7">
        <v>175000</v>
      </c>
      <c r="P245" s="7">
        <v>26250</v>
      </c>
      <c r="Q245" s="7">
        <v>148750</v>
      </c>
      <c r="R245" s="7">
        <f t="shared" si="16"/>
        <v>148750</v>
      </c>
      <c r="S245" t="s">
        <v>42</v>
      </c>
      <c r="T245" t="str">
        <f t="shared" si="17"/>
        <v>E-Wallet</v>
      </c>
      <c r="U245" t="s">
        <v>34</v>
      </c>
      <c r="W245" t="str">
        <f t="shared" si="18"/>
        <v/>
      </c>
      <c r="Y245" t="str">
        <f t="shared" si="19"/>
        <v/>
      </c>
      <c r="Z245" t="s">
        <v>43</v>
      </c>
      <c r="AA245" t="s">
        <v>49</v>
      </c>
      <c r="AC245" t="str">
        <f>IF(COUNTIF($A:$A,A245)&gt;1,"Duplicate","Unique")</f>
        <v>Unique</v>
      </c>
    </row>
    <row r="246" spans="1:29" x14ac:dyDescent="0.35">
      <c r="A246" t="s">
        <v>405</v>
      </c>
      <c r="B246" s="2">
        <v>45925</v>
      </c>
      <c r="C246" s="9">
        <f t="shared" si="15"/>
        <v>45925</v>
      </c>
      <c r="D246" t="s">
        <v>155</v>
      </c>
      <c r="E246" t="str">
        <v>Jakarta</v>
      </c>
      <c r="F246" t="s">
        <v>20</v>
      </c>
      <c r="G246" t="s">
        <v>31</v>
      </c>
      <c r="H246" t="str">
        <v>Product Photoshoot</v>
      </c>
      <c r="I246" t="s">
        <v>84</v>
      </c>
      <c r="J246" t="str">
        <v>Instagram</v>
      </c>
      <c r="K246" t="s">
        <v>71</v>
      </c>
      <c r="L246">
        <v>1</v>
      </c>
      <c r="M246">
        <v>1</v>
      </c>
      <c r="N246" t="s">
        <v>24</v>
      </c>
      <c r="O246" s="7">
        <v>85000</v>
      </c>
      <c r="P246" s="7">
        <v>8500</v>
      </c>
      <c r="Q246" s="7">
        <v>76500</v>
      </c>
      <c r="R246" s="7">
        <f t="shared" si="16"/>
        <v>76500</v>
      </c>
      <c r="S246" t="s">
        <v>33</v>
      </c>
      <c r="T246" t="str">
        <f t="shared" si="17"/>
        <v>Virtual Account</v>
      </c>
      <c r="U246" t="s">
        <v>34</v>
      </c>
      <c r="W246" t="str">
        <f t="shared" si="18"/>
        <v/>
      </c>
      <c r="Y246" t="str">
        <f t="shared" si="19"/>
        <v/>
      </c>
      <c r="Z246" t="s">
        <v>72</v>
      </c>
      <c r="AA246" t="s">
        <v>94</v>
      </c>
      <c r="AC246" t="str">
        <f>IF(COUNTIF($A:$A,A246)&gt;1,"Duplicate","Unique")</f>
        <v>Unique</v>
      </c>
    </row>
    <row r="247" spans="1:29" x14ac:dyDescent="0.35">
      <c r="A247" t="s">
        <v>406</v>
      </c>
      <c r="B247" s="2">
        <v>45797</v>
      </c>
      <c r="C247" s="9">
        <f t="shared" si="15"/>
        <v>45797</v>
      </c>
      <c r="D247" t="s">
        <v>37</v>
      </c>
      <c r="E247" t="str">
        <v>Bandung</v>
      </c>
      <c r="F247" t="s">
        <v>46</v>
      </c>
      <c r="G247" t="s">
        <v>31</v>
      </c>
      <c r="H247" t="str">
        <v>Product Photoshoot</v>
      </c>
      <c r="I247" t="s">
        <v>84</v>
      </c>
      <c r="J247" t="str">
        <v>Instagram</v>
      </c>
      <c r="K247" t="s">
        <v>47</v>
      </c>
      <c r="L247" t="s">
        <v>104</v>
      </c>
      <c r="M247">
        <v>2</v>
      </c>
      <c r="N247" t="s">
        <v>41</v>
      </c>
      <c r="O247" s="7">
        <v>420000</v>
      </c>
      <c r="P247" s="7">
        <v>42000</v>
      </c>
      <c r="Q247" s="7">
        <v>378000</v>
      </c>
      <c r="R247" s="7">
        <f t="shared" si="16"/>
        <v>378000</v>
      </c>
      <c r="S247" t="s">
        <v>25</v>
      </c>
      <c r="T247" t="str">
        <f t="shared" si="17"/>
        <v>Transfer</v>
      </c>
      <c r="U247" t="s">
        <v>34</v>
      </c>
      <c r="V247">
        <v>4</v>
      </c>
      <c r="W247">
        <f t="shared" si="18"/>
        <v>4</v>
      </c>
      <c r="Y247" t="str">
        <f t="shared" si="19"/>
        <v/>
      </c>
      <c r="Z247" t="s">
        <v>72</v>
      </c>
      <c r="AC247" t="str">
        <f>IF(COUNTIF($A:$A,A247)&gt;1,"Duplicate","Unique")</f>
        <v>Unique</v>
      </c>
    </row>
    <row r="248" spans="1:29" x14ac:dyDescent="0.35">
      <c r="A248" t="s">
        <v>407</v>
      </c>
      <c r="B248" t="s">
        <v>408</v>
      </c>
      <c r="C248" s="9">
        <f t="shared" si="15"/>
        <v>45712</v>
      </c>
      <c r="D248" t="s">
        <v>69</v>
      </c>
      <c r="E248" t="str">
        <v>Yogyakarta</v>
      </c>
      <c r="F248" t="s">
        <v>20</v>
      </c>
      <c r="G248" t="s">
        <v>38</v>
      </c>
      <c r="H248" t="str">
        <v>Podcast Recording</v>
      </c>
      <c r="I248" t="s">
        <v>54</v>
      </c>
      <c r="J248" t="str">
        <v>Referral</v>
      </c>
      <c r="K248" t="s">
        <v>66</v>
      </c>
      <c r="L248">
        <v>1</v>
      </c>
      <c r="M248">
        <v>1</v>
      </c>
      <c r="N248" t="s">
        <v>41</v>
      </c>
      <c r="O248" s="7">
        <v>120000</v>
      </c>
      <c r="P248" s="7">
        <v>0</v>
      </c>
      <c r="Q248" s="7">
        <v>120000</v>
      </c>
      <c r="R248" s="7">
        <f t="shared" si="16"/>
        <v>120000</v>
      </c>
      <c r="S248" t="s">
        <v>78</v>
      </c>
      <c r="T248" t="str">
        <f t="shared" si="17"/>
        <v>Cash</v>
      </c>
      <c r="U248" t="s">
        <v>56</v>
      </c>
      <c r="W248" t="str">
        <f t="shared" si="18"/>
        <v/>
      </c>
      <c r="Y248" t="str">
        <f t="shared" si="19"/>
        <v/>
      </c>
      <c r="Z248" t="s">
        <v>43</v>
      </c>
      <c r="AC248" t="str">
        <f>IF(COUNTIF($A:$A,A248)&gt;1,"Duplicate","Unique")</f>
        <v>Unique</v>
      </c>
    </row>
    <row r="249" spans="1:29" x14ac:dyDescent="0.35">
      <c r="A249" t="s">
        <v>409</v>
      </c>
      <c r="B249" s="2">
        <v>45707</v>
      </c>
      <c r="C249" s="9">
        <f t="shared" si="15"/>
        <v>45707</v>
      </c>
      <c r="D249" t="s">
        <v>69</v>
      </c>
      <c r="E249" t="str">
        <v>Yogyakarta</v>
      </c>
      <c r="F249" t="s">
        <v>59</v>
      </c>
      <c r="G249" t="s">
        <v>21</v>
      </c>
      <c r="H249" t="str">
        <v>Content Batch</v>
      </c>
      <c r="I249" t="s">
        <v>74</v>
      </c>
      <c r="J249" t="str">
        <v>Referral</v>
      </c>
      <c r="K249" t="s">
        <v>66</v>
      </c>
      <c r="L249">
        <v>4</v>
      </c>
      <c r="M249">
        <v>4</v>
      </c>
      <c r="N249" t="s">
        <v>41</v>
      </c>
      <c r="O249" s="7">
        <v>700000</v>
      </c>
      <c r="P249" s="7">
        <v>0</v>
      </c>
      <c r="Q249" s="7">
        <v>700000</v>
      </c>
      <c r="R249" s="7">
        <f t="shared" si="16"/>
        <v>700000</v>
      </c>
      <c r="S249" t="s">
        <v>42</v>
      </c>
      <c r="T249" t="str">
        <f t="shared" si="17"/>
        <v>E-Wallet</v>
      </c>
      <c r="U249" t="s">
        <v>34</v>
      </c>
      <c r="V249">
        <v>4</v>
      </c>
      <c r="W249">
        <f t="shared" si="18"/>
        <v>4</v>
      </c>
      <c r="Y249" t="str">
        <f t="shared" si="19"/>
        <v/>
      </c>
      <c r="Z249" t="s">
        <v>27</v>
      </c>
      <c r="AC249" t="str">
        <f>IF(COUNTIF($A:$A,A249)&gt;1,"Duplicate","Unique")</f>
        <v>Unique</v>
      </c>
    </row>
    <row r="250" spans="1:29" x14ac:dyDescent="0.35">
      <c r="A250" t="s">
        <v>410</v>
      </c>
      <c r="B250" s="2">
        <v>45967</v>
      </c>
      <c r="C250" s="9">
        <f t="shared" si="15"/>
        <v>45967</v>
      </c>
      <c r="D250" t="s">
        <v>45</v>
      </c>
      <c r="E250" t="str">
        <v>Malang</v>
      </c>
      <c r="F250" t="s">
        <v>46</v>
      </c>
      <c r="G250" t="s">
        <v>90</v>
      </c>
      <c r="H250" t="str">
        <v>Voice Over</v>
      </c>
      <c r="I250" t="s">
        <v>84</v>
      </c>
      <c r="J250" t="str">
        <v>Instagram</v>
      </c>
      <c r="K250" t="s">
        <v>66</v>
      </c>
      <c r="L250">
        <v>2</v>
      </c>
      <c r="M250">
        <v>2</v>
      </c>
      <c r="N250" t="s">
        <v>24</v>
      </c>
      <c r="O250" s="7">
        <v>350000</v>
      </c>
      <c r="P250" s="7">
        <v>0</v>
      </c>
      <c r="Q250" s="7">
        <v>350000</v>
      </c>
      <c r="R250" s="7">
        <f t="shared" si="16"/>
        <v>350000</v>
      </c>
      <c r="S250" t="s">
        <v>25</v>
      </c>
      <c r="T250" t="str">
        <f t="shared" si="17"/>
        <v>Transfer</v>
      </c>
      <c r="U250" t="s">
        <v>34</v>
      </c>
      <c r="V250">
        <v>5</v>
      </c>
      <c r="W250">
        <f t="shared" si="18"/>
        <v>5</v>
      </c>
      <c r="Y250" t="str">
        <f t="shared" si="19"/>
        <v/>
      </c>
      <c r="Z250" t="s">
        <v>43</v>
      </c>
      <c r="AA250" t="s">
        <v>96</v>
      </c>
      <c r="AC250" t="str">
        <f>IF(COUNTIF($A:$A,A250)&gt;1,"Duplicate","Unique")</f>
        <v>Unique</v>
      </c>
    </row>
    <row r="251" spans="1:29" x14ac:dyDescent="0.35">
      <c r="A251" t="s">
        <v>411</v>
      </c>
      <c r="B251" s="2">
        <v>45948</v>
      </c>
      <c r="C251" s="9">
        <f t="shared" si="15"/>
        <v>45948</v>
      </c>
      <c r="D251" t="s">
        <v>53</v>
      </c>
      <c r="E251" t="str">
        <v>Surabaya</v>
      </c>
      <c r="F251" t="s">
        <v>80</v>
      </c>
      <c r="G251" t="s">
        <v>21</v>
      </c>
      <c r="H251" t="str">
        <v>Content Batch</v>
      </c>
      <c r="I251" t="s">
        <v>39</v>
      </c>
      <c r="J251" t="str">
        <v>Website</v>
      </c>
      <c r="K251" t="s">
        <v>23</v>
      </c>
      <c r="L251">
        <v>3</v>
      </c>
      <c r="M251">
        <v>3</v>
      </c>
      <c r="N251" t="s">
        <v>32</v>
      </c>
      <c r="O251" s="7">
        <v>720000</v>
      </c>
      <c r="P251" s="7">
        <v>0</v>
      </c>
      <c r="Q251" s="7">
        <v>720000</v>
      </c>
      <c r="R251" s="7">
        <f t="shared" si="16"/>
        <v>720000</v>
      </c>
      <c r="S251" t="s">
        <v>25</v>
      </c>
      <c r="T251" t="str">
        <f t="shared" si="17"/>
        <v>Transfer</v>
      </c>
      <c r="U251" t="s">
        <v>26</v>
      </c>
      <c r="V251">
        <v>5</v>
      </c>
      <c r="W251">
        <f t="shared" si="18"/>
        <v>5</v>
      </c>
      <c r="X251" t="s">
        <v>85</v>
      </c>
      <c r="Y251" t="str">
        <f t="shared" si="19"/>
        <v>Budget issue</v>
      </c>
      <c r="Z251" t="s">
        <v>72</v>
      </c>
      <c r="AA251" t="s">
        <v>96</v>
      </c>
      <c r="AC251" t="str">
        <f>IF(COUNTIF($A:$A,A251)&gt;1,"Duplicate","Unique")</f>
        <v>Unique</v>
      </c>
    </row>
    <row r="252" spans="1:29" x14ac:dyDescent="0.35">
      <c r="A252" t="s">
        <v>412</v>
      </c>
      <c r="B252" s="2">
        <v>45704</v>
      </c>
      <c r="C252" s="9">
        <f t="shared" si="15"/>
        <v>45704</v>
      </c>
      <c r="D252" t="s">
        <v>37</v>
      </c>
      <c r="E252" t="str">
        <v>Bandung</v>
      </c>
      <c r="F252" t="s">
        <v>46</v>
      </c>
      <c r="G252" t="s">
        <v>90</v>
      </c>
      <c r="H252" t="str">
        <v>Voice Over</v>
      </c>
      <c r="I252" t="s">
        <v>84</v>
      </c>
      <c r="J252" t="str">
        <v>Instagram</v>
      </c>
      <c r="K252" t="s">
        <v>23</v>
      </c>
      <c r="L252">
        <v>1</v>
      </c>
      <c r="M252">
        <v>1</v>
      </c>
      <c r="N252" t="s">
        <v>32</v>
      </c>
      <c r="O252" s="7">
        <v>225000</v>
      </c>
      <c r="P252" s="7">
        <v>22500</v>
      </c>
      <c r="Q252" s="7">
        <v>202500</v>
      </c>
      <c r="R252" s="7">
        <f t="shared" si="16"/>
        <v>202500</v>
      </c>
      <c r="S252" t="s">
        <v>78</v>
      </c>
      <c r="T252" t="str">
        <f t="shared" si="17"/>
        <v>Cash</v>
      </c>
      <c r="U252" t="s">
        <v>56</v>
      </c>
      <c r="V252">
        <v>5</v>
      </c>
      <c r="W252">
        <f t="shared" si="18"/>
        <v>5</v>
      </c>
      <c r="Y252" t="str">
        <f t="shared" si="19"/>
        <v/>
      </c>
      <c r="Z252" t="s">
        <v>72</v>
      </c>
      <c r="AA252" t="s">
        <v>96</v>
      </c>
      <c r="AC252" t="str">
        <f>IF(COUNTIF($A:$A,A252)&gt;1,"Duplicate","Unique")</f>
        <v>Unique</v>
      </c>
    </row>
    <row r="253" spans="1:29" x14ac:dyDescent="0.35">
      <c r="A253" t="s">
        <v>413</v>
      </c>
      <c r="B253" s="2">
        <v>45956</v>
      </c>
      <c r="C253" s="9">
        <f t="shared" si="15"/>
        <v>45956</v>
      </c>
      <c r="D253" t="s">
        <v>58</v>
      </c>
      <c r="E253" t="str">
        <v>Jakarta</v>
      </c>
      <c r="F253" t="s">
        <v>80</v>
      </c>
      <c r="G253" t="s">
        <v>90</v>
      </c>
      <c r="H253" t="str">
        <v>Voice Over</v>
      </c>
      <c r="I253" t="s">
        <v>54</v>
      </c>
      <c r="J253" t="str">
        <v>Referral</v>
      </c>
      <c r="K253" t="s">
        <v>23</v>
      </c>
      <c r="L253">
        <v>2</v>
      </c>
      <c r="M253">
        <v>2</v>
      </c>
      <c r="N253" t="s">
        <v>24</v>
      </c>
      <c r="O253" s="7">
        <v>380000</v>
      </c>
      <c r="P253" s="7">
        <v>0</v>
      </c>
      <c r="Q253" s="7">
        <v>380000</v>
      </c>
      <c r="R253" s="7">
        <f t="shared" si="16"/>
        <v>380000</v>
      </c>
      <c r="S253" t="s">
        <v>25</v>
      </c>
      <c r="T253" t="str">
        <f t="shared" si="17"/>
        <v>Transfer</v>
      </c>
      <c r="U253" t="s">
        <v>34</v>
      </c>
      <c r="V253">
        <v>5</v>
      </c>
      <c r="W253">
        <f t="shared" si="18"/>
        <v>5</v>
      </c>
      <c r="Y253" t="str">
        <f t="shared" si="19"/>
        <v/>
      </c>
      <c r="Z253" t="s">
        <v>48</v>
      </c>
      <c r="AA253" t="s">
        <v>49</v>
      </c>
      <c r="AC253" t="str">
        <f>IF(COUNTIF($A:$A,A253)&gt;1,"Duplicate","Unique")</f>
        <v>Unique</v>
      </c>
    </row>
    <row r="254" spans="1:29" x14ac:dyDescent="0.35">
      <c r="A254" t="s">
        <v>414</v>
      </c>
      <c r="B254" s="2">
        <v>45766</v>
      </c>
      <c r="C254" s="9">
        <f t="shared" si="15"/>
        <v>45766</v>
      </c>
      <c r="D254" t="s">
        <v>178</v>
      </c>
      <c r="E254" t="str">
        <v>Bandung</v>
      </c>
      <c r="F254" t="s">
        <v>30</v>
      </c>
      <c r="G254" t="s">
        <v>103</v>
      </c>
      <c r="H254" t="str">
        <v>Video Podcast</v>
      </c>
      <c r="I254" t="s">
        <v>39</v>
      </c>
      <c r="J254" t="str">
        <v>Website</v>
      </c>
      <c r="K254" t="s">
        <v>71</v>
      </c>
      <c r="L254" t="s">
        <v>88</v>
      </c>
      <c r="M254">
        <v>1</v>
      </c>
      <c r="N254" t="s">
        <v>41</v>
      </c>
      <c r="O254" s="7">
        <v>160000</v>
      </c>
      <c r="P254" s="7">
        <v>24000</v>
      </c>
      <c r="Q254" s="7">
        <v>136000</v>
      </c>
      <c r="R254" s="7">
        <f t="shared" si="16"/>
        <v>136000</v>
      </c>
      <c r="S254" t="s">
        <v>33</v>
      </c>
      <c r="T254" t="str">
        <f t="shared" si="17"/>
        <v>Virtual Account</v>
      </c>
      <c r="U254" t="s">
        <v>34</v>
      </c>
      <c r="V254">
        <v>4</v>
      </c>
      <c r="W254">
        <f t="shared" si="18"/>
        <v>4</v>
      </c>
      <c r="Y254" t="str">
        <f t="shared" si="19"/>
        <v/>
      </c>
      <c r="Z254" t="s">
        <v>43</v>
      </c>
      <c r="AC254" t="str">
        <f>IF(COUNTIF($A:$A,A254)&gt;1,"Duplicate","Unique")</f>
        <v>Unique</v>
      </c>
    </row>
    <row r="255" spans="1:29" x14ac:dyDescent="0.35">
      <c r="A255" t="s">
        <v>415</v>
      </c>
      <c r="B255" s="2">
        <v>45891</v>
      </c>
      <c r="C255" s="9">
        <f t="shared" si="15"/>
        <v>45891</v>
      </c>
      <c r="D255" t="s">
        <v>199</v>
      </c>
      <c r="E255" t="str">
        <v>Malang</v>
      </c>
      <c r="F255" t="s">
        <v>30</v>
      </c>
      <c r="G255" t="s">
        <v>90</v>
      </c>
      <c r="H255" t="str">
        <v>Voice Over</v>
      </c>
      <c r="I255" t="s">
        <v>39</v>
      </c>
      <c r="J255" t="str">
        <v>Website</v>
      </c>
      <c r="K255" t="s">
        <v>66</v>
      </c>
      <c r="L255">
        <v>1</v>
      </c>
      <c r="M255">
        <v>1</v>
      </c>
      <c r="N255" t="s">
        <v>55</v>
      </c>
      <c r="O255" s="7">
        <v>200000</v>
      </c>
      <c r="P255" s="7">
        <v>0</v>
      </c>
      <c r="Q255" s="7">
        <v>200000</v>
      </c>
      <c r="R255" s="7">
        <f t="shared" si="16"/>
        <v>200000</v>
      </c>
      <c r="S255" t="s">
        <v>78</v>
      </c>
      <c r="T255" t="str">
        <f t="shared" si="17"/>
        <v>Cash</v>
      </c>
      <c r="U255" t="s">
        <v>34</v>
      </c>
      <c r="V255">
        <v>4</v>
      </c>
      <c r="W255">
        <f t="shared" si="18"/>
        <v>4</v>
      </c>
      <c r="Y255" t="str">
        <f t="shared" si="19"/>
        <v/>
      </c>
      <c r="Z255" t="s">
        <v>72</v>
      </c>
      <c r="AA255" t="s">
        <v>49</v>
      </c>
      <c r="AC255" t="str">
        <f>IF(COUNTIF($A:$A,A255)&gt;1,"Duplicate","Unique")</f>
        <v>Unique</v>
      </c>
    </row>
    <row r="256" spans="1:29" x14ac:dyDescent="0.35">
      <c r="A256" t="s">
        <v>416</v>
      </c>
      <c r="B256" s="2">
        <v>45948</v>
      </c>
      <c r="C256" s="9">
        <f t="shared" si="15"/>
        <v>45948</v>
      </c>
      <c r="D256" t="s">
        <v>69</v>
      </c>
      <c r="E256" t="str">
        <v>Yogyakarta</v>
      </c>
      <c r="F256" t="s">
        <v>59</v>
      </c>
      <c r="G256" t="s">
        <v>38</v>
      </c>
      <c r="H256" t="str">
        <v>Podcast Recording</v>
      </c>
      <c r="I256" t="s">
        <v>112</v>
      </c>
      <c r="J256" t="str">
        <v>Marketplace</v>
      </c>
      <c r="K256" t="s">
        <v>66</v>
      </c>
      <c r="L256">
        <v>3</v>
      </c>
      <c r="M256">
        <v>3</v>
      </c>
      <c r="N256" t="s">
        <v>41</v>
      </c>
      <c r="O256" s="7">
        <v>525000</v>
      </c>
      <c r="P256" s="7">
        <v>26250</v>
      </c>
      <c r="Q256" s="7">
        <v>498750</v>
      </c>
      <c r="R256" s="7">
        <f t="shared" si="16"/>
        <v>498750</v>
      </c>
      <c r="S256" t="s">
        <v>25</v>
      </c>
      <c r="T256" t="str">
        <f t="shared" si="17"/>
        <v>Transfer</v>
      </c>
      <c r="U256" t="s">
        <v>34</v>
      </c>
      <c r="V256">
        <v>5</v>
      </c>
      <c r="W256">
        <f t="shared" si="18"/>
        <v>5</v>
      </c>
      <c r="Y256" t="str">
        <f t="shared" si="19"/>
        <v/>
      </c>
      <c r="Z256" t="s">
        <v>27</v>
      </c>
      <c r="AC256" t="str">
        <f>IF(COUNTIF($A:$A,A256)&gt;1,"Duplicate","Unique")</f>
        <v>Unique</v>
      </c>
    </row>
    <row r="257" spans="1:29" x14ac:dyDescent="0.35">
      <c r="A257" t="s">
        <v>417</v>
      </c>
      <c r="B257" s="2">
        <v>45931</v>
      </c>
      <c r="C257" s="9">
        <f t="shared" si="15"/>
        <v>45931</v>
      </c>
      <c r="D257" t="s">
        <v>58</v>
      </c>
      <c r="E257" t="str">
        <v>Jakarta</v>
      </c>
      <c r="F257" t="s">
        <v>30</v>
      </c>
      <c r="G257" t="s">
        <v>99</v>
      </c>
      <c r="H257" t="str">
        <v>Live Streaming</v>
      </c>
      <c r="I257" t="s">
        <v>112</v>
      </c>
      <c r="J257" t="str">
        <v>Marketplace</v>
      </c>
      <c r="K257" t="s">
        <v>66</v>
      </c>
      <c r="L257">
        <v>1</v>
      </c>
      <c r="M257">
        <v>1</v>
      </c>
      <c r="N257" t="s">
        <v>41</v>
      </c>
      <c r="O257" s="7">
        <v>160000</v>
      </c>
      <c r="P257" s="7">
        <v>0</v>
      </c>
      <c r="Q257" s="7">
        <v>160000</v>
      </c>
      <c r="R257" s="7">
        <f t="shared" si="16"/>
        <v>160000</v>
      </c>
      <c r="S257" t="s">
        <v>33</v>
      </c>
      <c r="T257" t="str">
        <f t="shared" si="17"/>
        <v>Virtual Account</v>
      </c>
      <c r="U257" t="s">
        <v>34</v>
      </c>
      <c r="V257">
        <v>4</v>
      </c>
      <c r="W257">
        <f t="shared" si="18"/>
        <v>4</v>
      </c>
      <c r="Y257" t="str">
        <f t="shared" si="19"/>
        <v/>
      </c>
      <c r="Z257" t="s">
        <v>48</v>
      </c>
      <c r="AC257" t="str">
        <f>IF(COUNTIF($A:$A,A257)&gt;1,"Duplicate","Unique")</f>
        <v>Unique</v>
      </c>
    </row>
    <row r="258" spans="1:29" x14ac:dyDescent="0.35">
      <c r="A258" t="s">
        <v>418</v>
      </c>
      <c r="B258" t="s">
        <v>419</v>
      </c>
      <c r="C258" s="9">
        <f t="shared" si="15"/>
        <v>45671</v>
      </c>
      <c r="D258" t="s">
        <v>142</v>
      </c>
      <c r="E258" t="str">
        <v>Surabaya</v>
      </c>
      <c r="F258" t="s">
        <v>30</v>
      </c>
      <c r="G258" t="s">
        <v>38</v>
      </c>
      <c r="H258" t="str">
        <v>Podcast Recording</v>
      </c>
      <c r="I258" t="s">
        <v>39</v>
      </c>
      <c r="J258" t="str">
        <v>Website</v>
      </c>
      <c r="K258" t="s">
        <v>71</v>
      </c>
      <c r="L258">
        <v>1</v>
      </c>
      <c r="M258">
        <v>1</v>
      </c>
      <c r="N258" t="s">
        <v>41</v>
      </c>
      <c r="O258" s="7">
        <v>160000</v>
      </c>
      <c r="P258" s="7">
        <v>0</v>
      </c>
      <c r="Q258" s="7">
        <v>160000</v>
      </c>
      <c r="R258" s="7">
        <f t="shared" si="16"/>
        <v>160000</v>
      </c>
      <c r="S258" t="s">
        <v>33</v>
      </c>
      <c r="T258" t="str">
        <f t="shared" si="17"/>
        <v>Virtual Account</v>
      </c>
      <c r="U258" t="s">
        <v>34</v>
      </c>
      <c r="W258" t="str">
        <f t="shared" si="18"/>
        <v/>
      </c>
      <c r="Y258" t="str">
        <f t="shared" si="19"/>
        <v/>
      </c>
      <c r="Z258" t="s">
        <v>27</v>
      </c>
      <c r="AC258" t="str">
        <f>IF(COUNTIF($A:$A,A258)&gt;1,"Duplicate","Unique")</f>
        <v>Unique</v>
      </c>
    </row>
    <row r="259" spans="1:29" x14ac:dyDescent="0.35">
      <c r="A259" t="s">
        <v>420</v>
      </c>
      <c r="B259" s="2">
        <v>46016</v>
      </c>
      <c r="C259" s="9">
        <f t="shared" ref="C259:C321" si="20">IF(B259="","",IF(ISNUMBER(B259),INT(B259),IF(ISNUMBER(DATEVALUE(B259)),DATEVALUE(B259),"")))</f>
        <v>46016</v>
      </c>
      <c r="D259" t="s">
        <v>37</v>
      </c>
      <c r="E259" t="str">
        <v>Bandung</v>
      </c>
      <c r="F259" t="s">
        <v>30</v>
      </c>
      <c r="G259" t="s">
        <v>103</v>
      </c>
      <c r="H259" t="str">
        <v>Video Podcast</v>
      </c>
      <c r="I259" t="s">
        <v>112</v>
      </c>
      <c r="J259" t="str">
        <v>Marketplace</v>
      </c>
      <c r="K259" t="s">
        <v>47</v>
      </c>
      <c r="L259">
        <v>2</v>
      </c>
      <c r="M259">
        <v>2</v>
      </c>
      <c r="N259" t="s">
        <v>55</v>
      </c>
      <c r="O259" s="7">
        <v>400000</v>
      </c>
      <c r="P259" s="7">
        <v>20000</v>
      </c>
      <c r="Q259" s="7">
        <v>380000</v>
      </c>
      <c r="R259" s="7">
        <f t="shared" ref="R259:R321" si="21">IF(Q259="","",IF(ISNUMBER(Q259),Q259,VALUE(SUBSTITUTE(SUBSTITUTE(Q259,"RP ",""),",",""))))</f>
        <v>380000</v>
      </c>
      <c r="S259" t="s">
        <v>25</v>
      </c>
      <c r="T259" t="str">
        <f t="shared" ref="T259:T321" si="22">IF(S259="","",PROPER(TRIM(S259)))</f>
        <v>Transfer</v>
      </c>
      <c r="U259" t="s">
        <v>34</v>
      </c>
      <c r="W259" t="str">
        <f t="shared" ref="W259:W321" si="23">IF(V259="","",VALUE(V259))</f>
        <v/>
      </c>
      <c r="Y259" t="str">
        <f t="shared" ref="Y259:Y321" si="24">IF(U259="Cancelled",IF(X259="","Not Provided",X259), "")</f>
        <v/>
      </c>
      <c r="Z259" t="s">
        <v>60</v>
      </c>
      <c r="AA259" t="s">
        <v>96</v>
      </c>
      <c r="AC259" t="str">
        <f>IF(COUNTIF($A:$A,A259)&gt;1,"Duplicate","Unique")</f>
        <v>Unique</v>
      </c>
    </row>
    <row r="260" spans="1:29" x14ac:dyDescent="0.35">
      <c r="A260" t="s">
        <v>421</v>
      </c>
      <c r="B260" s="2">
        <v>45895</v>
      </c>
      <c r="C260" s="9">
        <f t="shared" si="20"/>
        <v>45895</v>
      </c>
      <c r="D260" t="s">
        <v>123</v>
      </c>
      <c r="E260" t="str">
        <v>Yogyakarta</v>
      </c>
      <c r="F260" t="s">
        <v>30</v>
      </c>
      <c r="G260" t="s">
        <v>31</v>
      </c>
      <c r="H260" t="str">
        <v>Product Photoshoot</v>
      </c>
      <c r="I260" t="s">
        <v>54</v>
      </c>
      <c r="J260" t="str">
        <v>Referral</v>
      </c>
      <c r="K260" t="s">
        <v>71</v>
      </c>
      <c r="L260" t="s">
        <v>88</v>
      </c>
      <c r="M260">
        <v>1</v>
      </c>
      <c r="N260" t="s">
        <v>55</v>
      </c>
      <c r="O260" s="7">
        <v>200000</v>
      </c>
      <c r="P260" s="7">
        <v>20000</v>
      </c>
      <c r="Q260" s="7">
        <v>180000</v>
      </c>
      <c r="R260" s="7">
        <f t="shared" si="21"/>
        <v>180000</v>
      </c>
      <c r="S260" t="s">
        <v>78</v>
      </c>
      <c r="T260" t="str">
        <f t="shared" si="22"/>
        <v>Cash</v>
      </c>
      <c r="U260" t="s">
        <v>34</v>
      </c>
      <c r="W260" t="str">
        <f t="shared" si="23"/>
        <v/>
      </c>
      <c r="Y260" t="str">
        <f t="shared" si="24"/>
        <v/>
      </c>
      <c r="Z260" t="s">
        <v>27</v>
      </c>
      <c r="AA260" t="s">
        <v>96</v>
      </c>
      <c r="AC260" t="str">
        <f>IF(COUNTIF($A:$A,A260)&gt;1,"Duplicate","Unique")</f>
        <v>Unique</v>
      </c>
    </row>
    <row r="261" spans="1:29" x14ac:dyDescent="0.35">
      <c r="A261" t="s">
        <v>422</v>
      </c>
      <c r="B261" t="s">
        <v>423</v>
      </c>
      <c r="C261" s="9">
        <f t="shared" si="20"/>
        <v>45879</v>
      </c>
      <c r="D261" t="s">
        <v>45</v>
      </c>
      <c r="E261" t="str">
        <v>Malang</v>
      </c>
      <c r="F261" t="s">
        <v>59</v>
      </c>
      <c r="G261" t="s">
        <v>31</v>
      </c>
      <c r="H261" t="str">
        <v>Product Photoshoot</v>
      </c>
      <c r="I261" t="s">
        <v>22</v>
      </c>
      <c r="J261" t="str">
        <v>Whatsapp</v>
      </c>
      <c r="K261" t="s">
        <v>40</v>
      </c>
      <c r="L261" t="s">
        <v>104</v>
      </c>
      <c r="M261">
        <v>2</v>
      </c>
      <c r="N261" t="s">
        <v>32</v>
      </c>
      <c r="O261" s="7">
        <v>380000</v>
      </c>
      <c r="P261" s="7">
        <v>19000</v>
      </c>
      <c r="Q261" s="7">
        <v>361000</v>
      </c>
      <c r="R261" s="7">
        <f t="shared" si="21"/>
        <v>361000</v>
      </c>
      <c r="S261" t="s">
        <v>33</v>
      </c>
      <c r="T261" t="str">
        <f t="shared" si="22"/>
        <v>Virtual Account</v>
      </c>
      <c r="U261" t="s">
        <v>26</v>
      </c>
      <c r="W261" t="str">
        <f t="shared" si="23"/>
        <v/>
      </c>
      <c r="X261" t="s">
        <v>167</v>
      </c>
      <c r="Y261" t="str">
        <f t="shared" si="24"/>
        <v>No response</v>
      </c>
      <c r="Z261" t="s">
        <v>43</v>
      </c>
      <c r="AA261" t="s">
        <v>94</v>
      </c>
      <c r="AC261" t="str">
        <f>IF(COUNTIF($A:$A,A261)&gt;1,"Duplicate","Unique")</f>
        <v>Unique</v>
      </c>
    </row>
    <row r="262" spans="1:29" x14ac:dyDescent="0.35">
      <c r="A262" t="s">
        <v>424</v>
      </c>
      <c r="B262" s="2">
        <v>45708</v>
      </c>
      <c r="C262" s="9">
        <f t="shared" si="20"/>
        <v>45708</v>
      </c>
      <c r="D262" t="s">
        <v>199</v>
      </c>
      <c r="E262" t="str">
        <v>Malang</v>
      </c>
      <c r="F262" t="s">
        <v>20</v>
      </c>
      <c r="G262" t="s">
        <v>21</v>
      </c>
      <c r="H262" t="str">
        <v>Content Batch</v>
      </c>
      <c r="I262" t="s">
        <v>54</v>
      </c>
      <c r="J262" t="str">
        <v>Referral</v>
      </c>
      <c r="K262" t="s">
        <v>40</v>
      </c>
      <c r="L262">
        <v>1</v>
      </c>
      <c r="M262">
        <v>1</v>
      </c>
      <c r="N262" t="s">
        <v>24</v>
      </c>
      <c r="O262" s="7">
        <v>85000</v>
      </c>
      <c r="P262" s="7">
        <v>0</v>
      </c>
      <c r="Q262" s="7">
        <v>85000</v>
      </c>
      <c r="R262" s="7">
        <f t="shared" si="21"/>
        <v>85000</v>
      </c>
      <c r="S262" t="s">
        <v>33</v>
      </c>
      <c r="T262" t="str">
        <f t="shared" si="22"/>
        <v>Virtual Account</v>
      </c>
      <c r="U262" t="s">
        <v>34</v>
      </c>
      <c r="V262">
        <v>5</v>
      </c>
      <c r="W262">
        <f t="shared" si="23"/>
        <v>5</v>
      </c>
      <c r="Y262" t="str">
        <f t="shared" si="24"/>
        <v/>
      </c>
      <c r="Z262" t="s">
        <v>48</v>
      </c>
      <c r="AC262" t="str">
        <f>IF(COUNTIF($A:$A,A262)&gt;1,"Duplicate","Unique")</f>
        <v>Unique</v>
      </c>
    </row>
    <row r="263" spans="1:29" x14ac:dyDescent="0.35">
      <c r="A263" t="s">
        <v>425</v>
      </c>
      <c r="B263" s="2">
        <v>45724</v>
      </c>
      <c r="C263" s="9">
        <f t="shared" si="20"/>
        <v>45724</v>
      </c>
      <c r="D263" t="s">
        <v>69</v>
      </c>
      <c r="E263" t="str">
        <v>Yogyakarta</v>
      </c>
      <c r="F263" t="s">
        <v>80</v>
      </c>
      <c r="G263" t="s">
        <v>103</v>
      </c>
      <c r="H263" t="str">
        <v>Video Podcast</v>
      </c>
      <c r="I263" t="s">
        <v>84</v>
      </c>
      <c r="J263" t="str">
        <v>Instagram</v>
      </c>
      <c r="K263" t="s">
        <v>23</v>
      </c>
      <c r="L263" t="s">
        <v>88</v>
      </c>
      <c r="M263">
        <v>1</v>
      </c>
      <c r="N263" t="s">
        <v>32</v>
      </c>
      <c r="O263" s="7">
        <v>240000</v>
      </c>
      <c r="P263" s="7">
        <v>0</v>
      </c>
      <c r="Q263" s="7">
        <v>240000</v>
      </c>
      <c r="R263" s="7">
        <f t="shared" si="21"/>
        <v>240000</v>
      </c>
      <c r="S263" t="s">
        <v>78</v>
      </c>
      <c r="T263" t="str">
        <f t="shared" si="22"/>
        <v>Cash</v>
      </c>
      <c r="U263" t="s">
        <v>26</v>
      </c>
      <c r="W263" t="str">
        <f t="shared" si="23"/>
        <v/>
      </c>
      <c r="X263" t="s">
        <v>259</v>
      </c>
      <c r="Y263" t="str">
        <f t="shared" si="24"/>
        <v>Schedule conflict</v>
      </c>
      <c r="Z263" t="s">
        <v>27</v>
      </c>
      <c r="AA263" t="s">
        <v>94</v>
      </c>
      <c r="AC263" t="str">
        <f>IF(COUNTIF($A:$A,A263)&gt;1,"Duplicate","Unique")</f>
        <v>Unique</v>
      </c>
    </row>
    <row r="264" spans="1:29" x14ac:dyDescent="0.35">
      <c r="A264" t="s">
        <v>426</v>
      </c>
      <c r="B264" t="s">
        <v>427</v>
      </c>
      <c r="C264" s="9">
        <f t="shared" si="20"/>
        <v>45749</v>
      </c>
      <c r="D264" t="s">
        <v>123</v>
      </c>
      <c r="E264" t="str">
        <v>Yogyakarta</v>
      </c>
      <c r="F264" t="s">
        <v>20</v>
      </c>
      <c r="G264" t="s">
        <v>99</v>
      </c>
      <c r="H264" t="str">
        <v>Live Streaming</v>
      </c>
      <c r="I264" t="s">
        <v>320</v>
      </c>
      <c r="J264" t="str">
        <v>Website</v>
      </c>
      <c r="K264" t="s">
        <v>71</v>
      </c>
      <c r="L264">
        <v>1</v>
      </c>
      <c r="M264">
        <v>1</v>
      </c>
      <c r="N264" t="s">
        <v>32</v>
      </c>
      <c r="O264" s="7">
        <v>135000</v>
      </c>
      <c r="P264" s="7">
        <v>0</v>
      </c>
      <c r="Q264" s="7">
        <v>135000</v>
      </c>
      <c r="R264" s="7">
        <f t="shared" si="21"/>
        <v>135000</v>
      </c>
      <c r="S264" t="s">
        <v>78</v>
      </c>
      <c r="T264" t="str">
        <f t="shared" si="22"/>
        <v>Cash</v>
      </c>
      <c r="U264" t="s">
        <v>34</v>
      </c>
      <c r="V264">
        <v>5</v>
      </c>
      <c r="W264">
        <f t="shared" si="23"/>
        <v>5</v>
      </c>
      <c r="Y264" t="str">
        <f t="shared" si="24"/>
        <v/>
      </c>
      <c r="Z264" t="s">
        <v>72</v>
      </c>
      <c r="AA264" t="s">
        <v>94</v>
      </c>
      <c r="AC264" t="str">
        <f>IF(COUNTIF($A:$A,A264)&gt;1,"Duplicate","Unique")</f>
        <v>Unique</v>
      </c>
    </row>
    <row r="265" spans="1:29" x14ac:dyDescent="0.35">
      <c r="A265" t="s">
        <v>428</v>
      </c>
      <c r="B265" t="s">
        <v>429</v>
      </c>
      <c r="C265" s="9">
        <f t="shared" si="20"/>
        <v>45912</v>
      </c>
      <c r="D265" t="s">
        <v>37</v>
      </c>
      <c r="E265" t="str">
        <v>Bandung</v>
      </c>
      <c r="F265" t="s">
        <v>20</v>
      </c>
      <c r="G265" t="s">
        <v>38</v>
      </c>
      <c r="H265" t="str">
        <v>Podcast Recording</v>
      </c>
      <c r="I265" t="s">
        <v>54</v>
      </c>
      <c r="J265" t="str">
        <v>Referral</v>
      </c>
      <c r="K265" t="s">
        <v>40</v>
      </c>
      <c r="L265">
        <v>2</v>
      </c>
      <c r="M265">
        <v>2</v>
      </c>
      <c r="N265" t="s">
        <v>24</v>
      </c>
      <c r="O265" s="7">
        <v>170000</v>
      </c>
      <c r="P265" s="7">
        <v>17000</v>
      </c>
      <c r="Q265" s="7">
        <v>153000</v>
      </c>
      <c r="R265" s="7">
        <f t="shared" si="21"/>
        <v>153000</v>
      </c>
      <c r="S265" t="s">
        <v>33</v>
      </c>
      <c r="T265" t="str">
        <f t="shared" si="22"/>
        <v>Virtual Account</v>
      </c>
      <c r="U265" t="s">
        <v>34</v>
      </c>
      <c r="V265">
        <v>5</v>
      </c>
      <c r="W265">
        <f t="shared" si="23"/>
        <v>5</v>
      </c>
      <c r="Y265" t="str">
        <f t="shared" si="24"/>
        <v/>
      </c>
      <c r="Z265" t="s">
        <v>43</v>
      </c>
      <c r="AA265" t="s">
        <v>35</v>
      </c>
      <c r="AC265" t="str">
        <f>IF(COUNTIF($A:$A,A265)&gt;1,"Duplicate","Unique")</f>
        <v>Unique</v>
      </c>
    </row>
    <row r="266" spans="1:29" x14ac:dyDescent="0.35">
      <c r="A266" t="s">
        <v>430</v>
      </c>
      <c r="B266" s="2">
        <v>45720</v>
      </c>
      <c r="C266" s="9">
        <f t="shared" si="20"/>
        <v>45720</v>
      </c>
      <c r="D266" t="s">
        <v>45</v>
      </c>
      <c r="E266" t="str">
        <v>Malang</v>
      </c>
      <c r="F266" t="s">
        <v>80</v>
      </c>
      <c r="G266" t="s">
        <v>31</v>
      </c>
      <c r="H266" t="str">
        <v>Product Photoshoot</v>
      </c>
      <c r="I266" t="s">
        <v>22</v>
      </c>
      <c r="J266" t="str">
        <v>Whatsapp</v>
      </c>
      <c r="K266" t="s">
        <v>40</v>
      </c>
      <c r="L266" t="s">
        <v>104</v>
      </c>
      <c r="M266">
        <v>2</v>
      </c>
      <c r="N266" t="s">
        <v>41</v>
      </c>
      <c r="O266" s="7">
        <v>450000</v>
      </c>
      <c r="P266" s="7">
        <v>0</v>
      </c>
      <c r="Q266" s="7">
        <v>450000</v>
      </c>
      <c r="R266" s="7">
        <f t="shared" si="21"/>
        <v>450000</v>
      </c>
      <c r="S266" t="s">
        <v>25</v>
      </c>
      <c r="T266" t="str">
        <f t="shared" si="22"/>
        <v>Transfer</v>
      </c>
      <c r="U266" t="s">
        <v>34</v>
      </c>
      <c r="W266" t="str">
        <f t="shared" si="23"/>
        <v/>
      </c>
      <c r="Y266" t="str">
        <f t="shared" si="24"/>
        <v/>
      </c>
      <c r="Z266" t="s">
        <v>43</v>
      </c>
      <c r="AA266" t="s">
        <v>96</v>
      </c>
      <c r="AC266" t="str">
        <f>IF(COUNTIF($A:$A,A266)&gt;1,"Duplicate","Unique")</f>
        <v>Unique</v>
      </c>
    </row>
    <row r="267" spans="1:29" x14ac:dyDescent="0.35">
      <c r="A267" t="s">
        <v>431</v>
      </c>
      <c r="B267" t="s">
        <v>432</v>
      </c>
      <c r="C267" s="9">
        <f t="shared" si="20"/>
        <v>45701</v>
      </c>
      <c r="D267" t="s">
        <v>69</v>
      </c>
      <c r="E267" t="str">
        <v>Yogyakarta</v>
      </c>
      <c r="F267" t="s">
        <v>46</v>
      </c>
      <c r="G267" t="s">
        <v>103</v>
      </c>
      <c r="H267" t="str">
        <v>Video Podcast</v>
      </c>
      <c r="I267" t="s">
        <v>84</v>
      </c>
      <c r="J267" t="str">
        <v>Instagram</v>
      </c>
      <c r="K267" t="s">
        <v>23</v>
      </c>
      <c r="L267" t="s">
        <v>88</v>
      </c>
      <c r="M267">
        <v>1</v>
      </c>
      <c r="N267" t="s">
        <v>32</v>
      </c>
      <c r="O267" s="7">
        <v>225000</v>
      </c>
      <c r="P267" s="7">
        <v>11250</v>
      </c>
      <c r="Q267" s="7">
        <v>213750</v>
      </c>
      <c r="R267" s="7">
        <f t="shared" si="21"/>
        <v>213750</v>
      </c>
      <c r="T267" t="str">
        <f t="shared" si="22"/>
        <v/>
      </c>
      <c r="U267" t="s">
        <v>56</v>
      </c>
      <c r="V267">
        <v>3</v>
      </c>
      <c r="W267">
        <f t="shared" si="23"/>
        <v>3</v>
      </c>
      <c r="Y267" t="str">
        <f t="shared" si="24"/>
        <v/>
      </c>
      <c r="Z267" t="s">
        <v>72</v>
      </c>
      <c r="AA267" t="s">
        <v>35</v>
      </c>
      <c r="AC267" t="str">
        <f>IF(COUNTIF($A:$A,A267)&gt;1,"Duplicate","Unique")</f>
        <v>Unique</v>
      </c>
    </row>
    <row r="268" spans="1:29" x14ac:dyDescent="0.35">
      <c r="A268" t="s">
        <v>433</v>
      </c>
      <c r="B268" t="s">
        <v>434</v>
      </c>
      <c r="C268" s="9">
        <f t="shared" si="20"/>
        <v>45865</v>
      </c>
      <c r="D268" t="s">
        <v>155</v>
      </c>
      <c r="E268" t="str">
        <v>Jakarta</v>
      </c>
      <c r="F268" t="s">
        <v>46</v>
      </c>
      <c r="G268" t="s">
        <v>21</v>
      </c>
      <c r="H268" t="str">
        <v>Content Batch</v>
      </c>
      <c r="I268" t="s">
        <v>112</v>
      </c>
      <c r="J268" t="str">
        <v>Marketplace</v>
      </c>
      <c r="K268" t="s">
        <v>66</v>
      </c>
      <c r="L268">
        <v>2</v>
      </c>
      <c r="M268">
        <v>2</v>
      </c>
      <c r="N268" t="s">
        <v>55</v>
      </c>
      <c r="O268" s="7">
        <v>500000</v>
      </c>
      <c r="P268" s="7">
        <v>0</v>
      </c>
      <c r="Q268" s="7">
        <v>500000</v>
      </c>
      <c r="R268" s="7">
        <f t="shared" si="21"/>
        <v>500000</v>
      </c>
      <c r="S268" t="s">
        <v>42</v>
      </c>
      <c r="T268" t="str">
        <f t="shared" si="22"/>
        <v>E-Wallet</v>
      </c>
      <c r="U268" t="s">
        <v>26</v>
      </c>
      <c r="V268">
        <v>3</v>
      </c>
      <c r="W268">
        <f t="shared" si="23"/>
        <v>3</v>
      </c>
      <c r="X268" t="s">
        <v>167</v>
      </c>
      <c r="Y268" t="str">
        <f t="shared" si="24"/>
        <v>No response</v>
      </c>
      <c r="Z268" t="s">
        <v>72</v>
      </c>
      <c r="AC268" t="str">
        <f>IF(COUNTIF($A:$A,A268)&gt;1,"Duplicate","Unique")</f>
        <v>Unique</v>
      </c>
    </row>
    <row r="269" spans="1:29" x14ac:dyDescent="0.35">
      <c r="A269" t="s">
        <v>435</v>
      </c>
      <c r="B269" s="2">
        <v>45891</v>
      </c>
      <c r="C269" s="9">
        <f t="shared" si="20"/>
        <v>45891</v>
      </c>
      <c r="D269" t="s">
        <v>45</v>
      </c>
      <c r="E269" t="str">
        <v>Malang</v>
      </c>
      <c r="F269" t="s">
        <v>46</v>
      </c>
      <c r="G269" t="s">
        <v>90</v>
      </c>
      <c r="H269" t="str">
        <v>Voice Over</v>
      </c>
      <c r="I269" t="s">
        <v>84</v>
      </c>
      <c r="J269" t="str">
        <v>Instagram</v>
      </c>
      <c r="K269" t="s">
        <v>47</v>
      </c>
      <c r="L269">
        <v>4</v>
      </c>
      <c r="M269">
        <v>4</v>
      </c>
      <c r="N269" t="s">
        <v>55</v>
      </c>
      <c r="O269" s="7">
        <v>1000000</v>
      </c>
      <c r="P269" s="7">
        <v>50000</v>
      </c>
      <c r="Q269" s="7">
        <v>950000</v>
      </c>
      <c r="R269" s="7">
        <f t="shared" si="21"/>
        <v>950000</v>
      </c>
      <c r="S269" t="s">
        <v>42</v>
      </c>
      <c r="T269" t="str">
        <f t="shared" si="22"/>
        <v>E-Wallet</v>
      </c>
      <c r="U269" t="s">
        <v>34</v>
      </c>
      <c r="V269">
        <v>4</v>
      </c>
      <c r="W269">
        <f t="shared" si="23"/>
        <v>4</v>
      </c>
      <c r="Y269" t="str">
        <f t="shared" si="24"/>
        <v/>
      </c>
      <c r="Z269" t="s">
        <v>60</v>
      </c>
      <c r="AA269" t="s">
        <v>35</v>
      </c>
      <c r="AC269" t="str">
        <f>IF(COUNTIF($A:$A,A269)&gt;1,"Duplicate","Unique")</f>
        <v>Unique</v>
      </c>
    </row>
    <row r="270" spans="1:29" x14ac:dyDescent="0.35">
      <c r="A270" t="s">
        <v>436</v>
      </c>
      <c r="B270" t="s">
        <v>394</v>
      </c>
      <c r="C270" s="9">
        <f t="shared" si="20"/>
        <v>45829</v>
      </c>
      <c r="D270" t="s">
        <v>58</v>
      </c>
      <c r="E270" t="str">
        <v>Jakarta</v>
      </c>
      <c r="F270" t="s">
        <v>20</v>
      </c>
      <c r="G270" t="s">
        <v>31</v>
      </c>
      <c r="H270" t="str">
        <v>Product Photoshoot</v>
      </c>
      <c r="I270" t="s">
        <v>39</v>
      </c>
      <c r="J270" t="str">
        <v>Website</v>
      </c>
      <c r="K270" t="s">
        <v>66</v>
      </c>
      <c r="L270" t="s">
        <v>88</v>
      </c>
      <c r="M270">
        <v>1</v>
      </c>
      <c r="N270" t="s">
        <v>32</v>
      </c>
      <c r="O270" s="7">
        <v>135000</v>
      </c>
      <c r="P270" s="7">
        <v>0</v>
      </c>
      <c r="Q270" s="7">
        <v>135000</v>
      </c>
      <c r="R270" s="7">
        <f t="shared" si="21"/>
        <v>135000</v>
      </c>
      <c r="S270" t="s">
        <v>33</v>
      </c>
      <c r="T270" t="str">
        <f t="shared" si="22"/>
        <v>Virtual Account</v>
      </c>
      <c r="U270" t="s">
        <v>56</v>
      </c>
      <c r="V270">
        <v>5</v>
      </c>
      <c r="W270">
        <f t="shared" si="23"/>
        <v>5</v>
      </c>
      <c r="Y270" t="str">
        <f t="shared" si="24"/>
        <v/>
      </c>
      <c r="Z270" t="s">
        <v>48</v>
      </c>
      <c r="AC270" t="str">
        <f>IF(COUNTIF($A:$A,A270)&gt;1,"Duplicate","Unique")</f>
        <v>Unique</v>
      </c>
    </row>
    <row r="271" spans="1:29" x14ac:dyDescent="0.35">
      <c r="A271" t="s">
        <v>437</v>
      </c>
      <c r="B271" s="2">
        <v>45803</v>
      </c>
      <c r="C271" s="9">
        <f t="shared" si="20"/>
        <v>45803</v>
      </c>
      <c r="D271" t="s">
        <v>69</v>
      </c>
      <c r="E271" t="str">
        <v>Yogyakarta</v>
      </c>
      <c r="F271" t="s">
        <v>30</v>
      </c>
      <c r="G271" t="s">
        <v>21</v>
      </c>
      <c r="H271" t="str">
        <v>Content Batch</v>
      </c>
      <c r="I271" t="s">
        <v>39</v>
      </c>
      <c r="J271" t="str">
        <v>Website</v>
      </c>
      <c r="K271" t="s">
        <v>23</v>
      </c>
      <c r="L271">
        <v>2</v>
      </c>
      <c r="M271">
        <v>2</v>
      </c>
      <c r="N271" t="s">
        <v>32</v>
      </c>
      <c r="O271" s="7">
        <v>350000</v>
      </c>
      <c r="P271" s="7">
        <v>0</v>
      </c>
      <c r="Q271" s="7">
        <v>350000</v>
      </c>
      <c r="R271" s="7">
        <f t="shared" si="21"/>
        <v>350000</v>
      </c>
      <c r="S271" t="s">
        <v>33</v>
      </c>
      <c r="T271" t="str">
        <f t="shared" si="22"/>
        <v>Virtual Account</v>
      </c>
      <c r="U271" t="s">
        <v>56</v>
      </c>
      <c r="V271">
        <v>4</v>
      </c>
      <c r="W271">
        <f t="shared" si="23"/>
        <v>4</v>
      </c>
      <c r="Y271" t="str">
        <f t="shared" si="24"/>
        <v/>
      </c>
      <c r="Z271" t="s">
        <v>48</v>
      </c>
      <c r="AA271" t="s">
        <v>49</v>
      </c>
      <c r="AC271" t="str">
        <f>IF(COUNTIF($A:$A,A271)&gt;1,"Duplicate","Unique")</f>
        <v>Unique</v>
      </c>
    </row>
    <row r="272" spans="1:29" x14ac:dyDescent="0.35">
      <c r="A272" t="s">
        <v>438</v>
      </c>
      <c r="B272" s="2">
        <v>45706</v>
      </c>
      <c r="C272" s="9">
        <f t="shared" si="20"/>
        <v>45706</v>
      </c>
      <c r="D272" t="s">
        <v>45</v>
      </c>
      <c r="E272" t="str">
        <v>Malang</v>
      </c>
      <c r="F272" t="s">
        <v>59</v>
      </c>
      <c r="G272" t="s">
        <v>90</v>
      </c>
      <c r="H272" t="str">
        <v>Voice Over</v>
      </c>
      <c r="I272" t="s">
        <v>65</v>
      </c>
      <c r="J272" t="str">
        <v>Marketplace</v>
      </c>
      <c r="K272" t="s">
        <v>23</v>
      </c>
      <c r="L272">
        <v>1</v>
      </c>
      <c r="M272">
        <v>1</v>
      </c>
      <c r="N272" t="s">
        <v>55</v>
      </c>
      <c r="O272" s="7">
        <v>215000</v>
      </c>
      <c r="P272" s="7">
        <v>0</v>
      </c>
      <c r="Q272" s="7">
        <v>215000</v>
      </c>
      <c r="R272" s="7">
        <f t="shared" si="21"/>
        <v>215000</v>
      </c>
      <c r="S272" t="s">
        <v>42</v>
      </c>
      <c r="T272" t="str">
        <f t="shared" si="22"/>
        <v>E-Wallet</v>
      </c>
      <c r="U272" t="s">
        <v>34</v>
      </c>
      <c r="W272" t="str">
        <f t="shared" si="23"/>
        <v/>
      </c>
      <c r="Y272" t="str">
        <f t="shared" si="24"/>
        <v/>
      </c>
      <c r="Z272" t="s">
        <v>43</v>
      </c>
      <c r="AC272" t="str">
        <f>IF(COUNTIF($A:$A,A272)&gt;1,"Duplicate","Unique")</f>
        <v>Unique</v>
      </c>
    </row>
    <row r="273" spans="1:29" x14ac:dyDescent="0.35">
      <c r="A273" t="s">
        <v>439</v>
      </c>
      <c r="B273" t="s">
        <v>440</v>
      </c>
      <c r="C273" s="9">
        <f t="shared" si="20"/>
        <v>45680</v>
      </c>
      <c r="D273" t="s">
        <v>58</v>
      </c>
      <c r="E273" t="str">
        <v>Jakarta</v>
      </c>
      <c r="F273" t="s">
        <v>20</v>
      </c>
      <c r="G273" t="s">
        <v>90</v>
      </c>
      <c r="H273" t="str">
        <v>Voice Over</v>
      </c>
      <c r="I273" t="s">
        <v>39</v>
      </c>
      <c r="J273" t="str">
        <v>Website</v>
      </c>
      <c r="K273" t="s">
        <v>23</v>
      </c>
      <c r="L273">
        <v>1</v>
      </c>
      <c r="M273">
        <v>1</v>
      </c>
      <c r="N273" t="s">
        <v>24</v>
      </c>
      <c r="O273" s="7">
        <v>85000</v>
      </c>
      <c r="P273" s="7">
        <v>0</v>
      </c>
      <c r="Q273" s="7">
        <v>85000</v>
      </c>
      <c r="R273" s="7">
        <f t="shared" si="21"/>
        <v>85000</v>
      </c>
      <c r="S273" t="s">
        <v>78</v>
      </c>
      <c r="T273" t="str">
        <f t="shared" si="22"/>
        <v>Cash</v>
      </c>
      <c r="U273" t="s">
        <v>56</v>
      </c>
      <c r="V273">
        <v>5</v>
      </c>
      <c r="W273">
        <f t="shared" si="23"/>
        <v>5</v>
      </c>
      <c r="Y273" t="str">
        <f t="shared" si="24"/>
        <v/>
      </c>
      <c r="Z273" t="s">
        <v>43</v>
      </c>
      <c r="AA273" t="s">
        <v>96</v>
      </c>
      <c r="AC273" t="str">
        <f>IF(COUNTIF($A:$A,A273)&gt;1,"Duplicate","Unique")</f>
        <v>Unique</v>
      </c>
    </row>
    <row r="274" spans="1:29" x14ac:dyDescent="0.35">
      <c r="A274" t="s">
        <v>441</v>
      </c>
      <c r="B274" t="s">
        <v>442</v>
      </c>
      <c r="C274" s="9">
        <f t="shared" si="20"/>
        <v>45770</v>
      </c>
      <c r="D274" t="s">
        <v>58</v>
      </c>
      <c r="E274" t="str">
        <v>Jakarta</v>
      </c>
      <c r="F274" t="s">
        <v>30</v>
      </c>
      <c r="G274" t="s">
        <v>90</v>
      </c>
      <c r="H274" t="str">
        <v>Voice Over</v>
      </c>
      <c r="I274" t="s">
        <v>54</v>
      </c>
      <c r="J274" t="str">
        <v>Referral</v>
      </c>
      <c r="K274" t="s">
        <v>47</v>
      </c>
      <c r="L274" t="s">
        <v>104</v>
      </c>
      <c r="M274">
        <v>2</v>
      </c>
      <c r="N274" t="s">
        <v>32</v>
      </c>
      <c r="O274" s="7">
        <v>350000</v>
      </c>
      <c r="P274" s="7">
        <v>0</v>
      </c>
      <c r="Q274" s="7">
        <v>350000</v>
      </c>
      <c r="R274" s="7">
        <f t="shared" si="21"/>
        <v>350000</v>
      </c>
      <c r="S274" t="s">
        <v>42</v>
      </c>
      <c r="T274" t="str">
        <f t="shared" si="22"/>
        <v>E-Wallet</v>
      </c>
      <c r="U274" t="s">
        <v>34</v>
      </c>
      <c r="V274">
        <v>4</v>
      </c>
      <c r="W274">
        <f t="shared" si="23"/>
        <v>4</v>
      </c>
      <c r="Y274" t="str">
        <f t="shared" si="24"/>
        <v/>
      </c>
      <c r="Z274" t="s">
        <v>43</v>
      </c>
      <c r="AC274" t="str">
        <f>IF(COUNTIF($A:$A,A274)&gt;1,"Duplicate","Unique")</f>
        <v>Unique</v>
      </c>
    </row>
    <row r="275" spans="1:29" x14ac:dyDescent="0.35">
      <c r="A275" t="s">
        <v>443</v>
      </c>
      <c r="B275" s="2">
        <v>45872</v>
      </c>
      <c r="C275" s="9">
        <f t="shared" si="20"/>
        <v>45872</v>
      </c>
      <c r="D275" t="s">
        <v>37</v>
      </c>
      <c r="E275" t="str">
        <v>Bandung</v>
      </c>
      <c r="F275" t="s">
        <v>59</v>
      </c>
      <c r="G275" t="s">
        <v>103</v>
      </c>
      <c r="H275" t="str">
        <v>Video Podcast</v>
      </c>
      <c r="I275" t="s">
        <v>92</v>
      </c>
      <c r="J275" t="str">
        <v>Whatsapp</v>
      </c>
      <c r="K275" t="s">
        <v>71</v>
      </c>
      <c r="L275">
        <v>2</v>
      </c>
      <c r="M275">
        <v>2</v>
      </c>
      <c r="N275" t="s">
        <v>55</v>
      </c>
      <c r="O275" s="7">
        <v>430000</v>
      </c>
      <c r="P275" s="7">
        <v>0</v>
      </c>
      <c r="Q275" s="7">
        <v>430000</v>
      </c>
      <c r="R275" s="7">
        <f t="shared" si="21"/>
        <v>430000</v>
      </c>
      <c r="S275" t="s">
        <v>42</v>
      </c>
      <c r="T275" t="str">
        <f t="shared" si="22"/>
        <v>E-Wallet</v>
      </c>
      <c r="U275" t="s">
        <v>56</v>
      </c>
      <c r="V275">
        <v>4</v>
      </c>
      <c r="W275">
        <f t="shared" si="23"/>
        <v>4</v>
      </c>
      <c r="Y275" t="str">
        <f t="shared" si="24"/>
        <v/>
      </c>
      <c r="Z275" t="s">
        <v>60</v>
      </c>
      <c r="AA275" t="s">
        <v>35</v>
      </c>
      <c r="AC275" t="str">
        <f>IF(COUNTIF($A:$A,A275)&gt;1,"Duplicate","Unique")</f>
        <v>Unique</v>
      </c>
    </row>
    <row r="276" spans="1:29" x14ac:dyDescent="0.35">
      <c r="A276" t="s">
        <v>444</v>
      </c>
      <c r="B276" t="s">
        <v>445</v>
      </c>
      <c r="C276" s="9">
        <f t="shared" si="20"/>
        <v>45960</v>
      </c>
      <c r="D276" t="s">
        <v>37</v>
      </c>
      <c r="E276" t="str">
        <v>Bandung</v>
      </c>
      <c r="F276" t="s">
        <v>80</v>
      </c>
      <c r="G276" t="s">
        <v>38</v>
      </c>
      <c r="H276" t="str">
        <v>Podcast Recording</v>
      </c>
      <c r="I276" t="s">
        <v>54</v>
      </c>
      <c r="J276" t="str">
        <v>Referral</v>
      </c>
      <c r="K276" t="s">
        <v>47</v>
      </c>
      <c r="L276">
        <v>3</v>
      </c>
      <c r="M276">
        <v>3</v>
      </c>
      <c r="N276" t="s">
        <v>24</v>
      </c>
      <c r="O276" s="7">
        <v>570000</v>
      </c>
      <c r="P276" s="7">
        <v>28500</v>
      </c>
      <c r="Q276" s="7">
        <v>541500</v>
      </c>
      <c r="R276" s="7">
        <f t="shared" si="21"/>
        <v>541500</v>
      </c>
      <c r="T276" t="str">
        <f t="shared" si="22"/>
        <v/>
      </c>
      <c r="U276" t="s">
        <v>34</v>
      </c>
      <c r="V276">
        <v>5</v>
      </c>
      <c r="W276">
        <f t="shared" si="23"/>
        <v>5</v>
      </c>
      <c r="Y276" t="str">
        <f t="shared" si="24"/>
        <v/>
      </c>
      <c r="Z276" t="s">
        <v>60</v>
      </c>
      <c r="AA276" t="s">
        <v>96</v>
      </c>
      <c r="AC276" t="str">
        <f>IF(COUNTIF($A:$A,A276)&gt;1,"Duplicate","Unique")</f>
        <v>Unique</v>
      </c>
    </row>
    <row r="277" spans="1:29" x14ac:dyDescent="0.35">
      <c r="A277" t="s">
        <v>446</v>
      </c>
      <c r="B277" s="2">
        <v>45841</v>
      </c>
      <c r="C277" s="9">
        <f t="shared" si="20"/>
        <v>45841</v>
      </c>
      <c r="D277" t="s">
        <v>142</v>
      </c>
      <c r="E277" t="str">
        <v>Surabaya</v>
      </c>
      <c r="F277" t="s">
        <v>46</v>
      </c>
      <c r="G277" t="s">
        <v>21</v>
      </c>
      <c r="H277" t="str">
        <v>Content Batch</v>
      </c>
      <c r="I277" t="s">
        <v>84</v>
      </c>
      <c r="J277" t="str">
        <v>Instagram</v>
      </c>
      <c r="K277" t="s">
        <v>47</v>
      </c>
      <c r="L277">
        <v>3</v>
      </c>
      <c r="M277">
        <v>3</v>
      </c>
      <c r="N277" t="s">
        <v>32</v>
      </c>
      <c r="O277" s="7">
        <v>675000</v>
      </c>
      <c r="P277" s="7">
        <v>67500</v>
      </c>
      <c r="Q277" s="7">
        <v>607500</v>
      </c>
      <c r="R277" s="7">
        <f t="shared" si="21"/>
        <v>607500</v>
      </c>
      <c r="S277" t="s">
        <v>33</v>
      </c>
      <c r="T277" t="str">
        <f t="shared" si="22"/>
        <v>Virtual Account</v>
      </c>
      <c r="U277" t="s">
        <v>34</v>
      </c>
      <c r="V277">
        <v>5</v>
      </c>
      <c r="W277">
        <f t="shared" si="23"/>
        <v>5</v>
      </c>
      <c r="Y277" t="str">
        <f t="shared" si="24"/>
        <v/>
      </c>
      <c r="Z277" t="s">
        <v>72</v>
      </c>
      <c r="AA277" t="s">
        <v>49</v>
      </c>
      <c r="AC277" t="str">
        <f>IF(COUNTIF($A:$A,A277)&gt;1,"Duplicate","Unique")</f>
        <v>Unique</v>
      </c>
    </row>
    <row r="278" spans="1:29" x14ac:dyDescent="0.35">
      <c r="A278" t="s">
        <v>447</v>
      </c>
      <c r="B278" s="2">
        <v>45979</v>
      </c>
      <c r="C278" s="9">
        <f t="shared" si="20"/>
        <v>45979</v>
      </c>
      <c r="D278" t="s">
        <v>58</v>
      </c>
      <c r="E278" t="str">
        <v>Jakarta</v>
      </c>
      <c r="F278" t="s">
        <v>30</v>
      </c>
      <c r="G278" t="s">
        <v>21</v>
      </c>
      <c r="H278" t="str">
        <v>Content Batch</v>
      </c>
      <c r="I278" t="s">
        <v>22</v>
      </c>
      <c r="J278" t="str">
        <v>Whatsapp</v>
      </c>
      <c r="K278" t="s">
        <v>71</v>
      </c>
      <c r="L278">
        <v>4</v>
      </c>
      <c r="M278">
        <v>4</v>
      </c>
      <c r="N278" t="s">
        <v>41</v>
      </c>
      <c r="O278" s="7">
        <v>640000</v>
      </c>
      <c r="P278" s="7">
        <v>96000</v>
      </c>
      <c r="Q278" s="7">
        <v>544000</v>
      </c>
      <c r="R278" s="7">
        <f t="shared" si="21"/>
        <v>544000</v>
      </c>
      <c r="T278" t="str">
        <f t="shared" si="22"/>
        <v/>
      </c>
      <c r="U278" t="s">
        <v>34</v>
      </c>
      <c r="V278">
        <v>5</v>
      </c>
      <c r="W278">
        <f t="shared" si="23"/>
        <v>5</v>
      </c>
      <c r="Y278" t="str">
        <f t="shared" si="24"/>
        <v/>
      </c>
      <c r="Z278" t="s">
        <v>43</v>
      </c>
      <c r="AA278" t="s">
        <v>49</v>
      </c>
      <c r="AC278" t="str">
        <f>IF(COUNTIF($A:$A,A278)&gt;1,"Duplicate","Unique")</f>
        <v>Unique</v>
      </c>
    </row>
    <row r="279" spans="1:29" x14ac:dyDescent="0.35">
      <c r="A279" t="s">
        <v>448</v>
      </c>
      <c r="B279" s="2">
        <v>45845</v>
      </c>
      <c r="C279" s="9">
        <f t="shared" si="20"/>
        <v>45845</v>
      </c>
      <c r="D279" t="s">
        <v>69</v>
      </c>
      <c r="E279" t="str">
        <v>Yogyakarta</v>
      </c>
      <c r="F279" t="s">
        <v>80</v>
      </c>
      <c r="G279" t="s">
        <v>38</v>
      </c>
      <c r="H279" t="str">
        <v>Podcast Recording</v>
      </c>
      <c r="I279" t="s">
        <v>22</v>
      </c>
      <c r="J279" t="str">
        <v>Whatsapp</v>
      </c>
      <c r="K279" t="s">
        <v>40</v>
      </c>
      <c r="L279">
        <v>3</v>
      </c>
      <c r="M279">
        <v>3</v>
      </c>
      <c r="N279" t="s">
        <v>55</v>
      </c>
      <c r="O279" s="7">
        <v>795000</v>
      </c>
      <c r="P279" s="7">
        <v>0</v>
      </c>
      <c r="Q279" s="7">
        <v>795000</v>
      </c>
      <c r="R279" s="7">
        <f t="shared" si="21"/>
        <v>795000</v>
      </c>
      <c r="S279" t="s">
        <v>25</v>
      </c>
      <c r="T279" t="str">
        <f t="shared" si="22"/>
        <v>Transfer</v>
      </c>
      <c r="U279" t="s">
        <v>56</v>
      </c>
      <c r="V279">
        <v>4</v>
      </c>
      <c r="W279">
        <f t="shared" si="23"/>
        <v>4</v>
      </c>
      <c r="Y279" t="str">
        <f t="shared" si="24"/>
        <v/>
      </c>
      <c r="Z279" t="s">
        <v>48</v>
      </c>
      <c r="AC279" t="str">
        <f>IF(COUNTIF($A:$A,A279)&gt;1,"Duplicate","Unique")</f>
        <v>Unique</v>
      </c>
    </row>
    <row r="280" spans="1:29" x14ac:dyDescent="0.35">
      <c r="A280" t="s">
        <v>449</v>
      </c>
      <c r="B280" s="2">
        <v>46006</v>
      </c>
      <c r="C280" s="9">
        <f t="shared" si="20"/>
        <v>46006</v>
      </c>
      <c r="D280" t="s">
        <v>69</v>
      </c>
      <c r="E280" t="str">
        <v>Yogyakarta</v>
      </c>
      <c r="F280" t="s">
        <v>59</v>
      </c>
      <c r="G280" t="s">
        <v>38</v>
      </c>
      <c r="H280" t="str">
        <v>Podcast Recording</v>
      </c>
      <c r="I280" t="s">
        <v>84</v>
      </c>
      <c r="J280" t="str">
        <v>Instagram</v>
      </c>
      <c r="K280" t="s">
        <v>40</v>
      </c>
      <c r="L280" t="s">
        <v>104</v>
      </c>
      <c r="M280">
        <v>2</v>
      </c>
      <c r="N280" t="s">
        <v>24</v>
      </c>
      <c r="O280" s="7">
        <v>280000</v>
      </c>
      <c r="P280" s="7">
        <v>14000</v>
      </c>
      <c r="Q280" s="7">
        <v>266000</v>
      </c>
      <c r="R280" s="7">
        <f t="shared" si="21"/>
        <v>266000</v>
      </c>
      <c r="S280" t="s">
        <v>78</v>
      </c>
      <c r="T280" t="str">
        <f t="shared" si="22"/>
        <v>Cash</v>
      </c>
      <c r="U280" t="s">
        <v>56</v>
      </c>
      <c r="V280">
        <v>5</v>
      </c>
      <c r="W280">
        <f t="shared" si="23"/>
        <v>5</v>
      </c>
      <c r="Y280" t="str">
        <f t="shared" si="24"/>
        <v/>
      </c>
      <c r="Z280" t="s">
        <v>43</v>
      </c>
      <c r="AA280" t="s">
        <v>49</v>
      </c>
      <c r="AC280" t="str">
        <f>IF(COUNTIF($A:$A,A280)&gt;1,"Duplicate","Unique")</f>
        <v>Unique</v>
      </c>
    </row>
    <row r="281" spans="1:29" x14ac:dyDescent="0.35">
      <c r="A281" t="s">
        <v>450</v>
      </c>
      <c r="B281" s="2">
        <v>45702</v>
      </c>
      <c r="C281" s="9">
        <f t="shared" si="20"/>
        <v>45702</v>
      </c>
      <c r="D281" t="s">
        <v>451</v>
      </c>
      <c r="E281" t="str">
        <v>Jakarta</v>
      </c>
      <c r="F281" t="s">
        <v>30</v>
      </c>
      <c r="G281" t="s">
        <v>103</v>
      </c>
      <c r="H281" t="str">
        <v>Video Podcast</v>
      </c>
      <c r="I281" t="s">
        <v>22</v>
      </c>
      <c r="J281" t="str">
        <v>Whatsapp</v>
      </c>
      <c r="K281" t="s">
        <v>47</v>
      </c>
      <c r="L281">
        <v>3</v>
      </c>
      <c r="M281">
        <v>3</v>
      </c>
      <c r="N281" t="s">
        <v>55</v>
      </c>
      <c r="O281" s="7">
        <v>600000</v>
      </c>
      <c r="P281" s="7">
        <v>30000</v>
      </c>
      <c r="Q281" s="7">
        <v>570000</v>
      </c>
      <c r="R281" s="7">
        <f t="shared" si="21"/>
        <v>570000</v>
      </c>
      <c r="S281" t="s">
        <v>33</v>
      </c>
      <c r="T281" t="str">
        <f t="shared" si="22"/>
        <v>Virtual Account</v>
      </c>
      <c r="U281" t="s">
        <v>34</v>
      </c>
      <c r="V281">
        <v>4</v>
      </c>
      <c r="W281">
        <f t="shared" si="23"/>
        <v>4</v>
      </c>
      <c r="Y281" t="str">
        <f t="shared" si="24"/>
        <v/>
      </c>
      <c r="Z281" t="s">
        <v>60</v>
      </c>
      <c r="AA281" t="s">
        <v>35</v>
      </c>
      <c r="AC281" t="str">
        <f>IF(COUNTIF($A:$A,A281)&gt;1,"Duplicate","Unique")</f>
        <v>Unique</v>
      </c>
    </row>
    <row r="282" spans="1:29" x14ac:dyDescent="0.35">
      <c r="A282" t="s">
        <v>452</v>
      </c>
      <c r="B282" t="s">
        <v>453</v>
      </c>
      <c r="C282" s="9">
        <f t="shared" si="20"/>
        <v>45690</v>
      </c>
      <c r="D282" t="s">
        <v>58</v>
      </c>
      <c r="E282" t="str">
        <v>Jakarta</v>
      </c>
      <c r="F282" t="s">
        <v>46</v>
      </c>
      <c r="G282" t="s">
        <v>90</v>
      </c>
      <c r="H282" t="str">
        <v>Voice Over</v>
      </c>
      <c r="I282" t="s">
        <v>22</v>
      </c>
      <c r="J282" t="str">
        <v>Whatsapp</v>
      </c>
      <c r="K282" t="s">
        <v>66</v>
      </c>
      <c r="L282">
        <v>2</v>
      </c>
      <c r="M282">
        <v>2</v>
      </c>
      <c r="N282" t="s">
        <v>32</v>
      </c>
      <c r="O282" s="7">
        <v>450000</v>
      </c>
      <c r="P282" s="7">
        <v>22500</v>
      </c>
      <c r="Q282" s="7">
        <v>427500</v>
      </c>
      <c r="R282" s="7">
        <f t="shared" si="21"/>
        <v>427500</v>
      </c>
      <c r="S282" t="s">
        <v>33</v>
      </c>
      <c r="T282" t="str">
        <f t="shared" si="22"/>
        <v>Virtual Account</v>
      </c>
      <c r="U282" t="s">
        <v>34</v>
      </c>
      <c r="V282">
        <v>4</v>
      </c>
      <c r="W282">
        <f t="shared" si="23"/>
        <v>4</v>
      </c>
      <c r="Y282" t="str">
        <f t="shared" si="24"/>
        <v/>
      </c>
      <c r="Z282" t="s">
        <v>60</v>
      </c>
      <c r="AA282" t="s">
        <v>49</v>
      </c>
      <c r="AC282" t="str">
        <f>IF(COUNTIF($A:$A,A282)&gt;1,"Duplicate","Unique")</f>
        <v>Unique</v>
      </c>
    </row>
    <row r="283" spans="1:29" x14ac:dyDescent="0.35">
      <c r="A283" t="s">
        <v>454</v>
      </c>
      <c r="B283" s="2">
        <v>45974</v>
      </c>
      <c r="C283" s="9">
        <f t="shared" si="20"/>
        <v>45974</v>
      </c>
      <c r="D283" t="s">
        <v>37</v>
      </c>
      <c r="E283" t="str">
        <v>Bandung</v>
      </c>
      <c r="F283" t="s">
        <v>80</v>
      </c>
      <c r="G283" t="s">
        <v>107</v>
      </c>
      <c r="H283" t="str">
        <v>Product Photoshoot</v>
      </c>
      <c r="I283" t="s">
        <v>39</v>
      </c>
      <c r="J283" t="str">
        <v>Website</v>
      </c>
      <c r="K283" t="s">
        <v>23</v>
      </c>
      <c r="L283">
        <v>1</v>
      </c>
      <c r="M283">
        <v>1</v>
      </c>
      <c r="N283" t="s">
        <v>24</v>
      </c>
      <c r="O283" s="7">
        <v>190000</v>
      </c>
      <c r="P283" s="7">
        <v>0</v>
      </c>
      <c r="Q283" s="7">
        <v>190000</v>
      </c>
      <c r="R283" s="7">
        <f t="shared" si="21"/>
        <v>190000</v>
      </c>
      <c r="S283" t="s">
        <v>42</v>
      </c>
      <c r="T283" t="str">
        <f t="shared" si="22"/>
        <v>E-Wallet</v>
      </c>
      <c r="U283" t="s">
        <v>34</v>
      </c>
      <c r="V283">
        <v>4</v>
      </c>
      <c r="W283">
        <f t="shared" si="23"/>
        <v>4</v>
      </c>
      <c r="Y283" t="str">
        <f t="shared" si="24"/>
        <v/>
      </c>
      <c r="Z283" t="s">
        <v>27</v>
      </c>
      <c r="AA283" t="s">
        <v>49</v>
      </c>
      <c r="AC283" t="str">
        <f>IF(COUNTIF($A:$A,A283)&gt;1,"Duplicate","Unique")</f>
        <v>Unique</v>
      </c>
    </row>
    <row r="284" spans="1:29" x14ac:dyDescent="0.35">
      <c r="A284" t="s">
        <v>455</v>
      </c>
      <c r="B284" s="2">
        <v>45720</v>
      </c>
      <c r="C284" s="9">
        <f t="shared" si="20"/>
        <v>45720</v>
      </c>
      <c r="D284" t="s">
        <v>58</v>
      </c>
      <c r="E284" t="str">
        <v>Jakarta</v>
      </c>
      <c r="F284" t="s">
        <v>30</v>
      </c>
      <c r="G284" t="s">
        <v>99</v>
      </c>
      <c r="H284" t="str">
        <v>Live Streaming</v>
      </c>
      <c r="I284" t="s">
        <v>39</v>
      </c>
      <c r="J284" t="str">
        <v>Website</v>
      </c>
      <c r="K284" t="s">
        <v>66</v>
      </c>
      <c r="L284">
        <v>3</v>
      </c>
      <c r="M284">
        <v>3</v>
      </c>
      <c r="N284" t="s">
        <v>41</v>
      </c>
      <c r="O284" s="7">
        <v>480000</v>
      </c>
      <c r="P284" s="7">
        <v>72000</v>
      </c>
      <c r="Q284" s="7">
        <v>408000</v>
      </c>
      <c r="R284" s="7">
        <f t="shared" si="21"/>
        <v>408000</v>
      </c>
      <c r="S284" t="s">
        <v>42</v>
      </c>
      <c r="T284" t="str">
        <f t="shared" si="22"/>
        <v>E-Wallet</v>
      </c>
      <c r="U284" t="s">
        <v>34</v>
      </c>
      <c r="V284">
        <v>5</v>
      </c>
      <c r="W284">
        <f t="shared" si="23"/>
        <v>5</v>
      </c>
      <c r="Y284" t="str">
        <f t="shared" si="24"/>
        <v/>
      </c>
      <c r="Z284" t="s">
        <v>43</v>
      </c>
      <c r="AC284" t="str">
        <f>IF(COUNTIF($A:$A,A284)&gt;1,"Duplicate","Unique")</f>
        <v>Unique</v>
      </c>
    </row>
    <row r="285" spans="1:29" x14ac:dyDescent="0.35">
      <c r="A285" t="s">
        <v>456</v>
      </c>
      <c r="B285" s="2">
        <v>45678</v>
      </c>
      <c r="C285" s="9">
        <f t="shared" si="20"/>
        <v>45678</v>
      </c>
      <c r="D285" t="s">
        <v>37</v>
      </c>
      <c r="E285" t="str">
        <v>Bandung</v>
      </c>
      <c r="F285" t="s">
        <v>80</v>
      </c>
      <c r="G285" t="s">
        <v>38</v>
      </c>
      <c r="H285" t="str">
        <v>Podcast Recording</v>
      </c>
      <c r="I285" t="s">
        <v>92</v>
      </c>
      <c r="J285" t="str">
        <v>Whatsapp</v>
      </c>
      <c r="K285" t="s">
        <v>47</v>
      </c>
      <c r="L285">
        <v>1</v>
      </c>
      <c r="M285">
        <v>1</v>
      </c>
      <c r="N285" t="s">
        <v>24</v>
      </c>
      <c r="O285" s="7">
        <v>190000</v>
      </c>
      <c r="P285" s="7">
        <v>0</v>
      </c>
      <c r="Q285" s="7">
        <v>190000</v>
      </c>
      <c r="R285" s="7">
        <f t="shared" si="21"/>
        <v>190000</v>
      </c>
      <c r="S285" t="s">
        <v>42</v>
      </c>
      <c r="T285" t="str">
        <f t="shared" si="22"/>
        <v>E-Wallet</v>
      </c>
      <c r="U285" t="s">
        <v>34</v>
      </c>
      <c r="V285">
        <v>3</v>
      </c>
      <c r="W285">
        <f t="shared" si="23"/>
        <v>3</v>
      </c>
      <c r="Y285" t="str">
        <f t="shared" si="24"/>
        <v/>
      </c>
      <c r="Z285" t="s">
        <v>48</v>
      </c>
      <c r="AA285" t="s">
        <v>49</v>
      </c>
      <c r="AC285" t="str">
        <f>IF(COUNTIF($A:$A,A285)&gt;1,"Duplicate","Unique")</f>
        <v>Unique</v>
      </c>
    </row>
    <row r="286" spans="1:29" x14ac:dyDescent="0.35">
      <c r="A286" t="s">
        <v>457</v>
      </c>
      <c r="B286" t="s">
        <v>458</v>
      </c>
      <c r="C286" s="9">
        <f t="shared" si="20"/>
        <v>45859</v>
      </c>
      <c r="D286" t="s">
        <v>37</v>
      </c>
      <c r="E286" t="str">
        <v>Bandung</v>
      </c>
      <c r="F286" t="s">
        <v>30</v>
      </c>
      <c r="G286" t="s">
        <v>31</v>
      </c>
      <c r="H286" t="str">
        <v>Product Photoshoot</v>
      </c>
      <c r="I286" t="s">
        <v>112</v>
      </c>
      <c r="J286" t="str">
        <v>Marketplace</v>
      </c>
      <c r="K286" t="s">
        <v>71</v>
      </c>
      <c r="L286">
        <v>1</v>
      </c>
      <c r="M286">
        <v>1</v>
      </c>
      <c r="N286" t="s">
        <v>32</v>
      </c>
      <c r="O286" s="7">
        <v>175000</v>
      </c>
      <c r="P286" s="7">
        <v>0</v>
      </c>
      <c r="Q286" s="7">
        <v>175000</v>
      </c>
      <c r="R286" s="7">
        <f t="shared" si="21"/>
        <v>175000</v>
      </c>
      <c r="S286" t="s">
        <v>25</v>
      </c>
      <c r="T286" t="str">
        <f t="shared" si="22"/>
        <v>Transfer</v>
      </c>
      <c r="U286" t="s">
        <v>26</v>
      </c>
      <c r="V286">
        <v>5</v>
      </c>
      <c r="W286">
        <f t="shared" si="23"/>
        <v>5</v>
      </c>
      <c r="X286" t="s">
        <v>183</v>
      </c>
      <c r="Y286" t="str">
        <f t="shared" si="24"/>
        <v>Technical issue</v>
      </c>
      <c r="Z286" t="s">
        <v>43</v>
      </c>
      <c r="AA286" t="s">
        <v>96</v>
      </c>
      <c r="AC286" t="str">
        <f>IF(COUNTIF($A:$A,A286)&gt;1,"Duplicate","Unique")</f>
        <v>Unique</v>
      </c>
    </row>
    <row r="287" spans="1:29" x14ac:dyDescent="0.35">
      <c r="A287" t="s">
        <v>459</v>
      </c>
      <c r="B287" s="2">
        <v>45884</v>
      </c>
      <c r="C287" s="9">
        <f t="shared" si="20"/>
        <v>45884</v>
      </c>
      <c r="D287" t="s">
        <v>256</v>
      </c>
      <c r="E287" t="str">
        <v>Surabaya</v>
      </c>
      <c r="F287" t="s">
        <v>46</v>
      </c>
      <c r="G287" t="s">
        <v>21</v>
      </c>
      <c r="H287" t="str">
        <v>Content Batch</v>
      </c>
      <c r="I287" t="s">
        <v>74</v>
      </c>
      <c r="J287" t="str">
        <v>Referral</v>
      </c>
      <c r="K287" t="s">
        <v>66</v>
      </c>
      <c r="L287">
        <v>1</v>
      </c>
      <c r="M287">
        <v>1</v>
      </c>
      <c r="N287" t="s">
        <v>41</v>
      </c>
      <c r="O287" s="7">
        <v>210000</v>
      </c>
      <c r="P287" s="7">
        <v>10500</v>
      </c>
      <c r="Q287" s="7">
        <v>199500</v>
      </c>
      <c r="R287" s="7">
        <f t="shared" si="21"/>
        <v>199500</v>
      </c>
      <c r="S287" t="s">
        <v>25</v>
      </c>
      <c r="T287" t="str">
        <f t="shared" si="22"/>
        <v>Transfer</v>
      </c>
      <c r="U287" t="s">
        <v>34</v>
      </c>
      <c r="W287" t="str">
        <f t="shared" si="23"/>
        <v/>
      </c>
      <c r="Y287" t="str">
        <f t="shared" si="24"/>
        <v/>
      </c>
      <c r="Z287" t="s">
        <v>48</v>
      </c>
      <c r="AA287" t="s">
        <v>49</v>
      </c>
      <c r="AC287" t="str">
        <f>IF(COUNTIF($A:$A,A287)&gt;1,"Duplicate","Unique")</f>
        <v>Unique</v>
      </c>
    </row>
    <row r="288" spans="1:29" x14ac:dyDescent="0.35">
      <c r="A288" t="s">
        <v>460</v>
      </c>
      <c r="B288" t="s">
        <v>461</v>
      </c>
      <c r="C288" s="9">
        <f t="shared" si="20"/>
        <v>45728</v>
      </c>
      <c r="D288" t="s">
        <v>37</v>
      </c>
      <c r="E288" t="str">
        <v>Bandung</v>
      </c>
      <c r="F288" t="s">
        <v>46</v>
      </c>
      <c r="G288" t="s">
        <v>99</v>
      </c>
      <c r="H288" t="str">
        <v>Live Streaming</v>
      </c>
      <c r="I288" t="s">
        <v>22</v>
      </c>
      <c r="J288" t="str">
        <v>Whatsapp</v>
      </c>
      <c r="K288" t="s">
        <v>71</v>
      </c>
      <c r="L288">
        <v>1</v>
      </c>
      <c r="M288">
        <v>1</v>
      </c>
      <c r="N288" t="s">
        <v>32</v>
      </c>
      <c r="O288" s="7">
        <v>225000</v>
      </c>
      <c r="P288" s="7">
        <v>22500</v>
      </c>
      <c r="Q288" s="7">
        <v>202500</v>
      </c>
      <c r="R288" s="7">
        <f t="shared" si="21"/>
        <v>202500</v>
      </c>
      <c r="S288" t="s">
        <v>33</v>
      </c>
      <c r="T288" t="str">
        <f t="shared" si="22"/>
        <v>Virtual Account</v>
      </c>
      <c r="U288" t="s">
        <v>56</v>
      </c>
      <c r="V288">
        <v>5</v>
      </c>
      <c r="W288">
        <f t="shared" si="23"/>
        <v>5</v>
      </c>
      <c r="Y288" t="str">
        <f t="shared" si="24"/>
        <v/>
      </c>
      <c r="Z288" t="s">
        <v>60</v>
      </c>
      <c r="AA288" t="s">
        <v>96</v>
      </c>
      <c r="AC288" t="str">
        <f>IF(COUNTIF($A:$A,A288)&gt;1,"Duplicate","Unique")</f>
        <v>Unique</v>
      </c>
    </row>
    <row r="289" spans="1:29" x14ac:dyDescent="0.35">
      <c r="A289" t="s">
        <v>462</v>
      </c>
      <c r="B289" t="s">
        <v>463</v>
      </c>
      <c r="C289" s="9">
        <f t="shared" si="20"/>
        <v>45909</v>
      </c>
      <c r="D289" t="s">
        <v>37</v>
      </c>
      <c r="E289" t="str">
        <v>Bandung</v>
      </c>
      <c r="F289" t="s">
        <v>20</v>
      </c>
      <c r="G289" t="s">
        <v>38</v>
      </c>
      <c r="H289" t="str">
        <v>Podcast Recording</v>
      </c>
      <c r="I289" t="s">
        <v>22</v>
      </c>
      <c r="J289" t="str">
        <v>Whatsapp</v>
      </c>
      <c r="K289" t="s">
        <v>66</v>
      </c>
      <c r="L289">
        <v>3</v>
      </c>
      <c r="M289">
        <v>3</v>
      </c>
      <c r="N289" t="s">
        <v>41</v>
      </c>
      <c r="O289" s="7">
        <v>360000</v>
      </c>
      <c r="P289" s="7">
        <v>36000</v>
      </c>
      <c r="Q289" s="7">
        <v>324000</v>
      </c>
      <c r="R289" s="7">
        <f t="shared" si="21"/>
        <v>324000</v>
      </c>
      <c r="S289" t="s">
        <v>25</v>
      </c>
      <c r="T289" t="str">
        <f t="shared" si="22"/>
        <v>Transfer</v>
      </c>
      <c r="U289" t="s">
        <v>56</v>
      </c>
      <c r="V289">
        <v>4</v>
      </c>
      <c r="W289">
        <f t="shared" si="23"/>
        <v>4</v>
      </c>
      <c r="Y289" t="str">
        <f t="shared" si="24"/>
        <v/>
      </c>
      <c r="Z289" t="s">
        <v>60</v>
      </c>
      <c r="AA289" t="s">
        <v>49</v>
      </c>
      <c r="AC289" t="str">
        <f>IF(COUNTIF($A:$A,A289)&gt;1,"Duplicate","Unique")</f>
        <v>Unique</v>
      </c>
    </row>
    <row r="290" spans="1:29" x14ac:dyDescent="0.35">
      <c r="A290" t="s">
        <v>464</v>
      </c>
      <c r="B290" s="2">
        <v>45821</v>
      </c>
      <c r="C290" s="9">
        <f t="shared" si="20"/>
        <v>45821</v>
      </c>
      <c r="D290" t="s">
        <v>69</v>
      </c>
      <c r="E290" t="str">
        <v>Yogyakarta</v>
      </c>
      <c r="F290" t="s">
        <v>46</v>
      </c>
      <c r="G290" t="s">
        <v>31</v>
      </c>
      <c r="H290" t="str">
        <v>Product Photoshoot</v>
      </c>
      <c r="I290" t="s">
        <v>39</v>
      </c>
      <c r="J290" t="str">
        <v>Website</v>
      </c>
      <c r="K290" t="s">
        <v>47</v>
      </c>
      <c r="L290">
        <v>1</v>
      </c>
      <c r="M290">
        <v>1</v>
      </c>
      <c r="N290" t="s">
        <v>24</v>
      </c>
      <c r="O290" s="7">
        <v>175000</v>
      </c>
      <c r="P290" s="7">
        <v>0</v>
      </c>
      <c r="Q290" s="7">
        <v>175000</v>
      </c>
      <c r="R290" s="7">
        <f t="shared" si="21"/>
        <v>175000</v>
      </c>
      <c r="S290" t="s">
        <v>78</v>
      </c>
      <c r="T290" t="str">
        <f t="shared" si="22"/>
        <v>Cash</v>
      </c>
      <c r="U290" t="s">
        <v>26</v>
      </c>
      <c r="V290">
        <v>4</v>
      </c>
      <c r="W290">
        <f t="shared" si="23"/>
        <v>4</v>
      </c>
      <c r="X290" t="s">
        <v>85</v>
      </c>
      <c r="Y290" t="str">
        <f t="shared" si="24"/>
        <v>Budget issue</v>
      </c>
      <c r="Z290" t="s">
        <v>27</v>
      </c>
      <c r="AA290" t="s">
        <v>94</v>
      </c>
      <c r="AC290" t="str">
        <f>IF(COUNTIF($A:$A,A290)&gt;1,"Duplicate","Unique")</f>
        <v>Unique</v>
      </c>
    </row>
    <row r="291" spans="1:29" x14ac:dyDescent="0.35">
      <c r="A291" t="s">
        <v>465</v>
      </c>
      <c r="B291" s="2">
        <v>45796</v>
      </c>
      <c r="C291" s="9">
        <f t="shared" si="20"/>
        <v>45796</v>
      </c>
      <c r="D291" t="s">
        <v>53</v>
      </c>
      <c r="E291" t="str">
        <v>Surabaya</v>
      </c>
      <c r="F291" t="s">
        <v>20</v>
      </c>
      <c r="G291" t="s">
        <v>90</v>
      </c>
      <c r="H291" t="str">
        <v>Voice Over</v>
      </c>
      <c r="I291" t="s">
        <v>112</v>
      </c>
      <c r="J291" t="str">
        <v>Marketplace</v>
      </c>
      <c r="K291" t="s">
        <v>40</v>
      </c>
      <c r="L291">
        <v>2</v>
      </c>
      <c r="M291">
        <v>2</v>
      </c>
      <c r="N291" t="s">
        <v>41</v>
      </c>
      <c r="O291" s="7">
        <v>240000</v>
      </c>
      <c r="P291" s="7">
        <v>0</v>
      </c>
      <c r="Q291" s="7">
        <v>240000</v>
      </c>
      <c r="R291" s="7">
        <f t="shared" si="21"/>
        <v>240000</v>
      </c>
      <c r="S291" t="s">
        <v>25</v>
      </c>
      <c r="T291" t="str">
        <f t="shared" si="22"/>
        <v>Transfer</v>
      </c>
      <c r="U291" t="s">
        <v>34</v>
      </c>
      <c r="W291" t="str">
        <f t="shared" si="23"/>
        <v/>
      </c>
      <c r="Y291" t="str">
        <f t="shared" si="24"/>
        <v/>
      </c>
      <c r="Z291" t="s">
        <v>48</v>
      </c>
      <c r="AA291" t="s">
        <v>96</v>
      </c>
      <c r="AC291" t="str">
        <f>IF(COUNTIF($A:$A,A291)&gt;1,"Duplicate","Unique")</f>
        <v>Unique</v>
      </c>
    </row>
    <row r="292" spans="1:29" x14ac:dyDescent="0.35">
      <c r="A292" t="s">
        <v>466</v>
      </c>
      <c r="B292" s="2">
        <v>46022</v>
      </c>
      <c r="C292" s="9">
        <f t="shared" si="20"/>
        <v>46022</v>
      </c>
      <c r="D292" t="s">
        <v>45</v>
      </c>
      <c r="E292" t="str">
        <v>Malang</v>
      </c>
      <c r="F292" t="s">
        <v>20</v>
      </c>
      <c r="G292" t="s">
        <v>99</v>
      </c>
      <c r="H292" t="str">
        <v>Live Streaming</v>
      </c>
      <c r="I292" t="s">
        <v>54</v>
      </c>
      <c r="J292" t="str">
        <v>Referral</v>
      </c>
      <c r="K292" t="s">
        <v>47</v>
      </c>
      <c r="L292" t="s">
        <v>104</v>
      </c>
      <c r="M292">
        <v>2</v>
      </c>
      <c r="N292" t="s">
        <v>41</v>
      </c>
      <c r="O292" s="7">
        <v>240000</v>
      </c>
      <c r="P292" s="7">
        <v>0</v>
      </c>
      <c r="Q292" s="7">
        <v>240000</v>
      </c>
      <c r="R292" s="7">
        <f t="shared" si="21"/>
        <v>240000</v>
      </c>
      <c r="S292" t="s">
        <v>42</v>
      </c>
      <c r="T292" t="str">
        <f t="shared" si="22"/>
        <v>E-Wallet</v>
      </c>
      <c r="U292" t="s">
        <v>34</v>
      </c>
      <c r="V292">
        <v>5</v>
      </c>
      <c r="W292">
        <f t="shared" si="23"/>
        <v>5</v>
      </c>
      <c r="Y292" t="str">
        <f t="shared" si="24"/>
        <v/>
      </c>
      <c r="Z292" t="s">
        <v>60</v>
      </c>
      <c r="AC292" t="str">
        <f>IF(COUNTIF($A:$A,A292)&gt;1,"Duplicate","Unique")</f>
        <v>Unique</v>
      </c>
    </row>
    <row r="293" spans="1:29" x14ac:dyDescent="0.35">
      <c r="A293" t="s">
        <v>467</v>
      </c>
      <c r="B293" t="s">
        <v>468</v>
      </c>
      <c r="C293" s="9">
        <f t="shared" si="20"/>
        <v>46010</v>
      </c>
      <c r="D293" t="s">
        <v>77</v>
      </c>
      <c r="E293" t="str">
        <v>Bandung</v>
      </c>
      <c r="F293" t="s">
        <v>59</v>
      </c>
      <c r="G293" t="s">
        <v>103</v>
      </c>
      <c r="H293" t="str">
        <v>Video Podcast</v>
      </c>
      <c r="I293" t="s">
        <v>39</v>
      </c>
      <c r="J293" t="str">
        <v>Website</v>
      </c>
      <c r="K293" t="s">
        <v>23</v>
      </c>
      <c r="L293" t="s">
        <v>51</v>
      </c>
      <c r="M293">
        <v>4</v>
      </c>
      <c r="N293" t="s">
        <v>24</v>
      </c>
      <c r="O293" s="7">
        <v>560000</v>
      </c>
      <c r="P293" s="7">
        <v>0</v>
      </c>
      <c r="Q293" s="7">
        <v>560000</v>
      </c>
      <c r="R293" s="7">
        <f t="shared" si="21"/>
        <v>560000</v>
      </c>
      <c r="S293" t="s">
        <v>78</v>
      </c>
      <c r="T293" t="str">
        <f t="shared" si="22"/>
        <v>Cash</v>
      </c>
      <c r="U293" t="s">
        <v>26</v>
      </c>
      <c r="V293">
        <v>3</v>
      </c>
      <c r="W293">
        <f t="shared" si="23"/>
        <v>3</v>
      </c>
      <c r="X293" t="s">
        <v>183</v>
      </c>
      <c r="Y293" t="str">
        <f t="shared" si="24"/>
        <v>Technical issue</v>
      </c>
      <c r="Z293" t="s">
        <v>72</v>
      </c>
      <c r="AA293" t="s">
        <v>96</v>
      </c>
      <c r="AC293" t="str">
        <f>IF(COUNTIF($A:$A,A293)&gt;1,"Duplicate","Unique")</f>
        <v>Unique</v>
      </c>
    </row>
    <row r="294" spans="1:29" x14ac:dyDescent="0.35">
      <c r="A294" t="s">
        <v>469</v>
      </c>
      <c r="B294" s="2">
        <v>45812</v>
      </c>
      <c r="C294" s="9">
        <f t="shared" si="20"/>
        <v>45812</v>
      </c>
      <c r="D294" t="s">
        <v>58</v>
      </c>
      <c r="E294" t="str">
        <v>Jakarta</v>
      </c>
      <c r="F294" t="s">
        <v>20</v>
      </c>
      <c r="G294" t="s">
        <v>38</v>
      </c>
      <c r="H294" t="str">
        <v>Podcast Recording</v>
      </c>
      <c r="I294" t="s">
        <v>112</v>
      </c>
      <c r="J294" t="str">
        <v>Marketplace</v>
      </c>
      <c r="K294" t="s">
        <v>23</v>
      </c>
      <c r="L294">
        <v>3</v>
      </c>
      <c r="M294">
        <v>3</v>
      </c>
      <c r="N294" t="s">
        <v>41</v>
      </c>
      <c r="O294" s="7">
        <v>360000</v>
      </c>
      <c r="P294" s="7">
        <v>0</v>
      </c>
      <c r="Q294" s="7">
        <v>360000</v>
      </c>
      <c r="R294" s="7">
        <f t="shared" si="21"/>
        <v>360000</v>
      </c>
      <c r="S294" t="s">
        <v>42</v>
      </c>
      <c r="T294" t="str">
        <f t="shared" si="22"/>
        <v>E-Wallet</v>
      </c>
      <c r="U294" t="s">
        <v>34</v>
      </c>
      <c r="V294">
        <v>3</v>
      </c>
      <c r="W294">
        <f t="shared" si="23"/>
        <v>3</v>
      </c>
      <c r="Y294" t="str">
        <f t="shared" si="24"/>
        <v/>
      </c>
      <c r="Z294" t="s">
        <v>48</v>
      </c>
      <c r="AC294" t="str">
        <f>IF(COUNTIF($A:$A,A294)&gt;1,"Duplicate","Unique")</f>
        <v>Unique</v>
      </c>
    </row>
    <row r="295" spans="1:29" x14ac:dyDescent="0.35">
      <c r="A295" t="s">
        <v>470</v>
      </c>
      <c r="B295" s="2">
        <v>45665</v>
      </c>
      <c r="C295" s="9">
        <f t="shared" si="20"/>
        <v>45665</v>
      </c>
      <c r="D295" t="s">
        <v>45</v>
      </c>
      <c r="E295" t="str">
        <v>Malang</v>
      </c>
      <c r="F295" t="s">
        <v>46</v>
      </c>
      <c r="G295" t="s">
        <v>21</v>
      </c>
      <c r="H295" t="str">
        <v>Content Batch</v>
      </c>
      <c r="I295" t="s">
        <v>39</v>
      </c>
      <c r="J295" t="str">
        <v>Website</v>
      </c>
      <c r="K295" t="s">
        <v>40</v>
      </c>
      <c r="L295">
        <v>1</v>
      </c>
      <c r="M295">
        <v>1</v>
      </c>
      <c r="N295" t="s">
        <v>55</v>
      </c>
      <c r="O295" s="7">
        <v>250000</v>
      </c>
      <c r="P295" s="7">
        <v>25000</v>
      </c>
      <c r="Q295" s="7">
        <v>225000</v>
      </c>
      <c r="R295" s="7">
        <f t="shared" si="21"/>
        <v>225000</v>
      </c>
      <c r="S295" t="s">
        <v>25</v>
      </c>
      <c r="T295" t="str">
        <f t="shared" si="22"/>
        <v>Transfer</v>
      </c>
      <c r="U295" t="s">
        <v>26</v>
      </c>
      <c r="W295" t="str">
        <f t="shared" si="23"/>
        <v/>
      </c>
      <c r="X295" t="s">
        <v>167</v>
      </c>
      <c r="Y295" t="str">
        <f t="shared" si="24"/>
        <v>No response</v>
      </c>
      <c r="Z295" t="s">
        <v>27</v>
      </c>
      <c r="AA295" t="s">
        <v>96</v>
      </c>
      <c r="AC295" t="str">
        <f>IF(COUNTIF($A:$A,A295)&gt;1,"Duplicate","Unique")</f>
        <v>Unique</v>
      </c>
    </row>
    <row r="296" spans="1:29" x14ac:dyDescent="0.35">
      <c r="A296" t="s">
        <v>471</v>
      </c>
      <c r="B296" s="2">
        <v>45721</v>
      </c>
      <c r="C296" s="9">
        <f t="shared" si="20"/>
        <v>45721</v>
      </c>
      <c r="D296" t="s">
        <v>123</v>
      </c>
      <c r="E296" t="str">
        <v>Yogyakarta</v>
      </c>
      <c r="F296" t="s">
        <v>20</v>
      </c>
      <c r="G296" t="s">
        <v>90</v>
      </c>
      <c r="H296" t="str">
        <v>Voice Over</v>
      </c>
      <c r="I296" t="s">
        <v>39</v>
      </c>
      <c r="J296" t="str">
        <v>Website</v>
      </c>
      <c r="K296" t="s">
        <v>66</v>
      </c>
      <c r="L296">
        <v>3</v>
      </c>
      <c r="M296">
        <v>3</v>
      </c>
      <c r="N296" t="s">
        <v>24</v>
      </c>
      <c r="O296" s="7">
        <v>255000</v>
      </c>
      <c r="P296" s="7">
        <v>0</v>
      </c>
      <c r="Q296" s="7">
        <v>255000</v>
      </c>
      <c r="R296" s="7">
        <f t="shared" si="21"/>
        <v>255000</v>
      </c>
      <c r="S296" t="s">
        <v>33</v>
      </c>
      <c r="T296" t="str">
        <f t="shared" si="22"/>
        <v>Virtual Account</v>
      </c>
      <c r="U296" t="s">
        <v>56</v>
      </c>
      <c r="V296">
        <v>4</v>
      </c>
      <c r="W296">
        <f t="shared" si="23"/>
        <v>4</v>
      </c>
      <c r="Y296" t="str">
        <f t="shared" si="24"/>
        <v/>
      </c>
      <c r="Z296" t="s">
        <v>43</v>
      </c>
      <c r="AA296" t="s">
        <v>96</v>
      </c>
      <c r="AC296" t="str">
        <f>IF(COUNTIF($A:$A,A296)&gt;1,"Duplicate","Unique")</f>
        <v>Unique</v>
      </c>
    </row>
    <row r="297" spans="1:29" x14ac:dyDescent="0.35">
      <c r="A297" t="s">
        <v>472</v>
      </c>
      <c r="B297" s="2">
        <v>45754</v>
      </c>
      <c r="C297" s="9">
        <f t="shared" si="20"/>
        <v>45754</v>
      </c>
      <c r="D297" t="s">
        <v>58</v>
      </c>
      <c r="E297" t="str">
        <v>Jakarta</v>
      </c>
      <c r="F297" t="s">
        <v>30</v>
      </c>
      <c r="G297" t="s">
        <v>21</v>
      </c>
      <c r="H297" t="str">
        <v>Content Batch</v>
      </c>
      <c r="I297" t="s">
        <v>22</v>
      </c>
      <c r="J297" t="str">
        <v>Whatsapp</v>
      </c>
      <c r="K297" t="s">
        <v>23</v>
      </c>
      <c r="L297">
        <v>2</v>
      </c>
      <c r="M297">
        <v>2</v>
      </c>
      <c r="N297" t="s">
        <v>24</v>
      </c>
      <c r="O297" s="7">
        <v>250000</v>
      </c>
      <c r="P297" s="7">
        <v>12500</v>
      </c>
      <c r="Q297" s="7">
        <v>237500</v>
      </c>
      <c r="R297" s="7">
        <f t="shared" si="21"/>
        <v>237500</v>
      </c>
      <c r="T297" t="str">
        <f t="shared" si="22"/>
        <v/>
      </c>
      <c r="U297" t="s">
        <v>26</v>
      </c>
      <c r="V297">
        <v>4</v>
      </c>
      <c r="W297">
        <f t="shared" si="23"/>
        <v>4</v>
      </c>
      <c r="X297" t="s">
        <v>85</v>
      </c>
      <c r="Y297" t="str">
        <f t="shared" si="24"/>
        <v>Budget issue</v>
      </c>
      <c r="Z297" t="s">
        <v>60</v>
      </c>
      <c r="AA297" t="s">
        <v>94</v>
      </c>
      <c r="AC297" t="str">
        <f>IF(COUNTIF($A:$A,A297)&gt;1,"Duplicate","Unique")</f>
        <v>Unique</v>
      </c>
    </row>
    <row r="298" spans="1:29" x14ac:dyDescent="0.35">
      <c r="A298" t="s">
        <v>473</v>
      </c>
      <c r="B298" s="2">
        <v>45962</v>
      </c>
      <c r="C298" s="9">
        <f t="shared" si="20"/>
        <v>45962</v>
      </c>
      <c r="D298" t="s">
        <v>69</v>
      </c>
      <c r="E298" t="str">
        <v>Yogyakarta</v>
      </c>
      <c r="F298" t="s">
        <v>20</v>
      </c>
      <c r="G298" t="s">
        <v>103</v>
      </c>
      <c r="H298" t="str">
        <v>Video Podcast</v>
      </c>
      <c r="I298" t="s">
        <v>54</v>
      </c>
      <c r="J298" t="str">
        <v>Referral</v>
      </c>
      <c r="K298" t="s">
        <v>66</v>
      </c>
      <c r="L298" t="s">
        <v>104</v>
      </c>
      <c r="M298">
        <v>2</v>
      </c>
      <c r="N298" t="s">
        <v>41</v>
      </c>
      <c r="O298" s="7">
        <v>240000</v>
      </c>
      <c r="P298" s="7">
        <v>12000</v>
      </c>
      <c r="Q298" s="7">
        <v>228000</v>
      </c>
      <c r="R298" s="7">
        <f t="shared" si="21"/>
        <v>228000</v>
      </c>
      <c r="S298" t="s">
        <v>33</v>
      </c>
      <c r="T298" t="str">
        <f t="shared" si="22"/>
        <v>Virtual Account</v>
      </c>
      <c r="U298" t="s">
        <v>26</v>
      </c>
      <c r="V298">
        <v>5</v>
      </c>
      <c r="W298">
        <f t="shared" si="23"/>
        <v>5</v>
      </c>
      <c r="X298" t="s">
        <v>85</v>
      </c>
      <c r="Y298" t="str">
        <f t="shared" si="24"/>
        <v>Budget issue</v>
      </c>
      <c r="Z298" t="s">
        <v>72</v>
      </c>
      <c r="AA298" t="s">
        <v>96</v>
      </c>
      <c r="AC298" t="str">
        <f>IF(COUNTIF($A:$A,A298)&gt;1,"Duplicate","Unique")</f>
        <v>Unique</v>
      </c>
    </row>
    <row r="299" spans="1:29" x14ac:dyDescent="0.35">
      <c r="A299" t="s">
        <v>474</v>
      </c>
      <c r="B299" t="s">
        <v>475</v>
      </c>
      <c r="C299" s="9">
        <f t="shared" si="20"/>
        <v>45913</v>
      </c>
      <c r="D299" t="s">
        <v>58</v>
      </c>
      <c r="E299" t="str">
        <v>Jakarta</v>
      </c>
      <c r="F299" t="s">
        <v>46</v>
      </c>
      <c r="G299" t="s">
        <v>99</v>
      </c>
      <c r="H299" t="str">
        <v>Live Streaming</v>
      </c>
      <c r="I299" t="s">
        <v>112</v>
      </c>
      <c r="J299" t="str">
        <v>Marketplace</v>
      </c>
      <c r="K299" t="s">
        <v>40</v>
      </c>
      <c r="L299">
        <v>3</v>
      </c>
      <c r="M299">
        <v>3</v>
      </c>
      <c r="N299" t="s">
        <v>32</v>
      </c>
      <c r="O299" s="7">
        <v>675000</v>
      </c>
      <c r="P299" s="7">
        <v>33750</v>
      </c>
      <c r="Q299" s="7">
        <v>641250</v>
      </c>
      <c r="R299" s="7">
        <f t="shared" si="21"/>
        <v>641250</v>
      </c>
      <c r="S299" t="s">
        <v>25</v>
      </c>
      <c r="T299" t="str">
        <f t="shared" si="22"/>
        <v>Transfer</v>
      </c>
      <c r="U299" t="s">
        <v>34</v>
      </c>
      <c r="V299">
        <v>4</v>
      </c>
      <c r="W299">
        <f t="shared" si="23"/>
        <v>4</v>
      </c>
      <c r="Y299" t="str">
        <f t="shared" si="24"/>
        <v/>
      </c>
      <c r="Z299" t="s">
        <v>43</v>
      </c>
      <c r="AC299" t="str">
        <f>IF(COUNTIF($A:$A,A299)&gt;1,"Duplicate","Unique")</f>
        <v>Unique</v>
      </c>
    </row>
    <row r="300" spans="1:29" x14ac:dyDescent="0.35">
      <c r="A300" t="s">
        <v>476</v>
      </c>
      <c r="B300" s="2">
        <v>45888</v>
      </c>
      <c r="C300" s="9">
        <f t="shared" si="20"/>
        <v>45888</v>
      </c>
      <c r="D300" t="s">
        <v>53</v>
      </c>
      <c r="E300" t="str">
        <v>Surabaya</v>
      </c>
      <c r="F300" t="s">
        <v>30</v>
      </c>
      <c r="G300" t="s">
        <v>99</v>
      </c>
      <c r="H300" t="str">
        <v>Live Streaming</v>
      </c>
      <c r="I300" t="s">
        <v>54</v>
      </c>
      <c r="J300" t="str">
        <v>Referral</v>
      </c>
      <c r="K300" t="s">
        <v>47</v>
      </c>
      <c r="L300">
        <v>3</v>
      </c>
      <c r="M300">
        <v>3</v>
      </c>
      <c r="N300" t="s">
        <v>41</v>
      </c>
      <c r="O300" s="7">
        <v>480000</v>
      </c>
      <c r="P300" s="7">
        <v>72000</v>
      </c>
      <c r="Q300" s="7">
        <v>408000</v>
      </c>
      <c r="R300" s="7">
        <f t="shared" si="21"/>
        <v>408000</v>
      </c>
      <c r="T300" t="str">
        <f t="shared" si="22"/>
        <v/>
      </c>
      <c r="U300" t="s">
        <v>56</v>
      </c>
      <c r="V300">
        <v>4</v>
      </c>
      <c r="W300">
        <f t="shared" si="23"/>
        <v>4</v>
      </c>
      <c r="Y300" t="str">
        <f t="shared" si="24"/>
        <v/>
      </c>
      <c r="Z300" t="s">
        <v>60</v>
      </c>
      <c r="AA300" t="s">
        <v>96</v>
      </c>
      <c r="AC300" t="str">
        <f>IF(COUNTIF($A:$A,A300)&gt;1,"Duplicate","Unique")</f>
        <v>Unique</v>
      </c>
    </row>
    <row r="301" spans="1:29" x14ac:dyDescent="0.35">
      <c r="A301" t="s">
        <v>477</v>
      </c>
      <c r="B301" s="2">
        <v>45917</v>
      </c>
      <c r="C301" s="9">
        <f t="shared" si="20"/>
        <v>45917</v>
      </c>
      <c r="D301" t="s">
        <v>58</v>
      </c>
      <c r="E301" t="str">
        <v>Jakarta</v>
      </c>
      <c r="F301" t="s">
        <v>30</v>
      </c>
      <c r="G301" t="s">
        <v>31</v>
      </c>
      <c r="H301" t="str">
        <v>Product Photoshoot</v>
      </c>
      <c r="I301" t="s">
        <v>54</v>
      </c>
      <c r="J301" t="str">
        <v>Referral</v>
      </c>
      <c r="K301" t="s">
        <v>71</v>
      </c>
      <c r="L301">
        <v>1</v>
      </c>
      <c r="M301">
        <v>1</v>
      </c>
      <c r="N301" t="s">
        <v>24</v>
      </c>
      <c r="O301" s="7">
        <v>125000</v>
      </c>
      <c r="P301" s="7">
        <v>0</v>
      </c>
      <c r="Q301" s="7">
        <v>125000</v>
      </c>
      <c r="R301" s="7">
        <f t="shared" si="21"/>
        <v>125000</v>
      </c>
      <c r="S301" t="s">
        <v>33</v>
      </c>
      <c r="T301" t="str">
        <f t="shared" si="22"/>
        <v>Virtual Account</v>
      </c>
      <c r="U301" t="s">
        <v>34</v>
      </c>
      <c r="V301">
        <v>5</v>
      </c>
      <c r="W301">
        <f t="shared" si="23"/>
        <v>5</v>
      </c>
      <c r="Y301" t="str">
        <f t="shared" si="24"/>
        <v/>
      </c>
      <c r="Z301" t="s">
        <v>72</v>
      </c>
      <c r="AC301" t="str">
        <f>IF(COUNTIF($A:$A,A301)&gt;1,"Duplicate","Unique")</f>
        <v>Unique</v>
      </c>
    </row>
    <row r="302" spans="1:29" x14ac:dyDescent="0.35">
      <c r="A302" t="s">
        <v>478</v>
      </c>
      <c r="B302" s="2">
        <v>45996</v>
      </c>
      <c r="C302" s="9">
        <f t="shared" si="20"/>
        <v>45996</v>
      </c>
      <c r="D302" t="s">
        <v>37</v>
      </c>
      <c r="E302" t="str">
        <v>Bandung</v>
      </c>
      <c r="F302" t="s">
        <v>46</v>
      </c>
      <c r="G302" t="s">
        <v>103</v>
      </c>
      <c r="H302" t="str">
        <v>Video Podcast</v>
      </c>
      <c r="I302" t="s">
        <v>22</v>
      </c>
      <c r="J302" t="str">
        <v>Whatsapp</v>
      </c>
      <c r="K302" t="s">
        <v>71</v>
      </c>
      <c r="L302">
        <v>1</v>
      </c>
      <c r="M302">
        <v>1</v>
      </c>
      <c r="N302" t="s">
        <v>41</v>
      </c>
      <c r="O302" s="7">
        <v>210000</v>
      </c>
      <c r="P302" s="7">
        <v>0</v>
      </c>
      <c r="Q302" s="7">
        <v>210000</v>
      </c>
      <c r="R302" s="7">
        <f t="shared" si="21"/>
        <v>210000</v>
      </c>
      <c r="S302" t="s">
        <v>25</v>
      </c>
      <c r="T302" t="str">
        <f t="shared" si="22"/>
        <v>Transfer</v>
      </c>
      <c r="U302" t="s">
        <v>34</v>
      </c>
      <c r="V302">
        <v>3</v>
      </c>
      <c r="W302">
        <f t="shared" si="23"/>
        <v>3</v>
      </c>
      <c r="Y302" t="str">
        <f t="shared" si="24"/>
        <v/>
      </c>
      <c r="Z302" t="s">
        <v>43</v>
      </c>
      <c r="AA302" t="s">
        <v>49</v>
      </c>
      <c r="AC302" t="str">
        <f>IF(COUNTIF($A:$A,A302)&gt;1,"Duplicate","Unique")</f>
        <v>Unique</v>
      </c>
    </row>
    <row r="303" spans="1:29" x14ac:dyDescent="0.35">
      <c r="A303" t="s">
        <v>479</v>
      </c>
      <c r="B303" t="s">
        <v>480</v>
      </c>
      <c r="C303" s="9">
        <f t="shared" si="20"/>
        <v>45823</v>
      </c>
      <c r="D303" t="s">
        <v>45</v>
      </c>
      <c r="E303" t="str">
        <v>Malang</v>
      </c>
      <c r="F303" t="s">
        <v>20</v>
      </c>
      <c r="G303" t="s">
        <v>99</v>
      </c>
      <c r="H303" t="str">
        <v>Live Streaming</v>
      </c>
      <c r="I303" t="s">
        <v>84</v>
      </c>
      <c r="J303" t="str">
        <v>Instagram</v>
      </c>
      <c r="K303" t="s">
        <v>23</v>
      </c>
      <c r="L303">
        <v>2</v>
      </c>
      <c r="M303">
        <v>2</v>
      </c>
      <c r="N303" t="s">
        <v>41</v>
      </c>
      <c r="O303" s="7">
        <v>240000</v>
      </c>
      <c r="P303" s="7">
        <v>0</v>
      </c>
      <c r="Q303" s="7">
        <v>240000</v>
      </c>
      <c r="R303" s="7">
        <f t="shared" si="21"/>
        <v>240000</v>
      </c>
      <c r="S303" t="s">
        <v>33</v>
      </c>
      <c r="T303" t="str">
        <f t="shared" si="22"/>
        <v>Virtual Account</v>
      </c>
      <c r="U303" t="s">
        <v>34</v>
      </c>
      <c r="V303">
        <v>4</v>
      </c>
      <c r="W303">
        <f t="shared" si="23"/>
        <v>4</v>
      </c>
      <c r="Y303" t="str">
        <f t="shared" si="24"/>
        <v/>
      </c>
      <c r="Z303" t="s">
        <v>60</v>
      </c>
      <c r="AC303" t="str">
        <f>IF(COUNTIF($A:$A,A303)&gt;1,"Duplicate","Unique")</f>
        <v>Unique</v>
      </c>
    </row>
    <row r="304" spans="1:29" x14ac:dyDescent="0.35">
      <c r="A304" t="s">
        <v>481</v>
      </c>
      <c r="B304" s="2">
        <v>45977</v>
      </c>
      <c r="C304" s="9">
        <f t="shared" si="20"/>
        <v>45977</v>
      </c>
      <c r="D304" t="s">
        <v>58</v>
      </c>
      <c r="E304" t="str">
        <v>Jakarta</v>
      </c>
      <c r="F304" t="s">
        <v>80</v>
      </c>
      <c r="G304" t="s">
        <v>38</v>
      </c>
      <c r="H304" t="str">
        <v>Podcast Recording</v>
      </c>
      <c r="I304" t="s">
        <v>112</v>
      </c>
      <c r="J304" t="str">
        <v>Marketplace</v>
      </c>
      <c r="K304" t="s">
        <v>40</v>
      </c>
      <c r="L304">
        <v>1</v>
      </c>
      <c r="M304">
        <v>1</v>
      </c>
      <c r="N304" t="s">
        <v>41</v>
      </c>
      <c r="O304" s="7">
        <v>225000</v>
      </c>
      <c r="P304" s="7">
        <v>0</v>
      </c>
      <c r="Q304" s="7">
        <v>225000</v>
      </c>
      <c r="R304" s="7">
        <f t="shared" si="21"/>
        <v>225000</v>
      </c>
      <c r="S304" t="s">
        <v>78</v>
      </c>
      <c r="T304" t="str">
        <f t="shared" si="22"/>
        <v>Cash</v>
      </c>
      <c r="U304" t="s">
        <v>34</v>
      </c>
      <c r="V304">
        <v>5</v>
      </c>
      <c r="W304">
        <f t="shared" si="23"/>
        <v>5</v>
      </c>
      <c r="Y304" t="str">
        <f t="shared" si="24"/>
        <v/>
      </c>
      <c r="Z304" t="s">
        <v>72</v>
      </c>
      <c r="AA304" t="s">
        <v>35</v>
      </c>
      <c r="AC304" t="str">
        <f>IF(COUNTIF($A:$A,A304)&gt;1,"Duplicate","Unique")</f>
        <v>Unique</v>
      </c>
    </row>
    <row r="305" spans="1:29" x14ac:dyDescent="0.35">
      <c r="A305" t="s">
        <v>482</v>
      </c>
      <c r="B305" s="2">
        <v>45979</v>
      </c>
      <c r="C305" s="9">
        <f t="shared" si="20"/>
        <v>45979</v>
      </c>
      <c r="D305" t="s">
        <v>199</v>
      </c>
      <c r="E305" t="str">
        <v>Malang</v>
      </c>
      <c r="F305" t="s">
        <v>46</v>
      </c>
      <c r="G305" t="s">
        <v>90</v>
      </c>
      <c r="H305" t="str">
        <v>Voice Over</v>
      </c>
      <c r="I305" t="s">
        <v>54</v>
      </c>
      <c r="J305" t="str">
        <v>Referral</v>
      </c>
      <c r="K305" t="s">
        <v>23</v>
      </c>
      <c r="L305">
        <v>3</v>
      </c>
      <c r="M305">
        <v>3</v>
      </c>
      <c r="N305" t="s">
        <v>32</v>
      </c>
      <c r="O305" s="7">
        <v>675000</v>
      </c>
      <c r="P305" s="7">
        <v>67500</v>
      </c>
      <c r="Q305" s="7">
        <v>607500</v>
      </c>
      <c r="R305" s="7">
        <f t="shared" si="21"/>
        <v>607500</v>
      </c>
      <c r="S305" t="s">
        <v>78</v>
      </c>
      <c r="T305" t="str">
        <f t="shared" si="22"/>
        <v>Cash</v>
      </c>
      <c r="U305" t="s">
        <v>34</v>
      </c>
      <c r="V305">
        <v>5</v>
      </c>
      <c r="W305">
        <f t="shared" si="23"/>
        <v>5</v>
      </c>
      <c r="Y305" t="str">
        <f t="shared" si="24"/>
        <v/>
      </c>
      <c r="Z305" t="s">
        <v>72</v>
      </c>
      <c r="AA305" t="s">
        <v>94</v>
      </c>
      <c r="AC305" t="str">
        <f>IF(COUNTIF($A:$A,A305)&gt;1,"Duplicate","Unique")</f>
        <v>Unique</v>
      </c>
    </row>
    <row r="306" spans="1:29" x14ac:dyDescent="0.35">
      <c r="A306" t="s">
        <v>483</v>
      </c>
      <c r="B306" t="s">
        <v>374</v>
      </c>
      <c r="C306" s="9">
        <f t="shared" si="20"/>
        <v>45982</v>
      </c>
      <c r="D306" t="s">
        <v>37</v>
      </c>
      <c r="E306" t="str">
        <v>Bandung</v>
      </c>
      <c r="F306" t="s">
        <v>30</v>
      </c>
      <c r="G306" t="s">
        <v>31</v>
      </c>
      <c r="H306" t="str">
        <v>Product Photoshoot</v>
      </c>
      <c r="I306" t="s">
        <v>22</v>
      </c>
      <c r="J306" t="str">
        <v>Whatsapp</v>
      </c>
      <c r="K306" t="s">
        <v>23</v>
      </c>
      <c r="L306">
        <v>1</v>
      </c>
      <c r="M306">
        <v>1</v>
      </c>
      <c r="N306" t="s">
        <v>24</v>
      </c>
      <c r="O306" s="7">
        <v>125000</v>
      </c>
      <c r="P306" s="7">
        <v>0</v>
      </c>
      <c r="Q306" s="7">
        <v>125000</v>
      </c>
      <c r="R306" s="7">
        <f t="shared" si="21"/>
        <v>125000</v>
      </c>
      <c r="S306" t="s">
        <v>42</v>
      </c>
      <c r="T306" t="str">
        <f t="shared" si="22"/>
        <v>E-Wallet</v>
      </c>
      <c r="U306" t="s">
        <v>34</v>
      </c>
      <c r="V306">
        <v>4</v>
      </c>
      <c r="W306">
        <f t="shared" si="23"/>
        <v>4</v>
      </c>
      <c r="Y306" t="str">
        <f t="shared" si="24"/>
        <v/>
      </c>
      <c r="Z306" t="s">
        <v>27</v>
      </c>
      <c r="AC306" t="str">
        <f>IF(COUNTIF($A:$A,A306)&gt;1,"Duplicate","Unique")</f>
        <v>Unique</v>
      </c>
    </row>
    <row r="307" spans="1:29" x14ac:dyDescent="0.35">
      <c r="A307" t="s">
        <v>484</v>
      </c>
      <c r="B307" s="2">
        <v>45800</v>
      </c>
      <c r="C307" s="9">
        <f t="shared" si="20"/>
        <v>45800</v>
      </c>
      <c r="D307" t="s">
        <v>45</v>
      </c>
      <c r="E307" t="str">
        <v>Malang</v>
      </c>
      <c r="F307" t="s">
        <v>46</v>
      </c>
      <c r="G307" t="s">
        <v>21</v>
      </c>
      <c r="H307" t="str">
        <v>Content Batch</v>
      </c>
      <c r="I307" t="s">
        <v>84</v>
      </c>
      <c r="J307" t="str">
        <v>Instagram</v>
      </c>
      <c r="K307" t="s">
        <v>66</v>
      </c>
      <c r="L307" t="s">
        <v>88</v>
      </c>
      <c r="M307">
        <v>1</v>
      </c>
      <c r="N307" t="s">
        <v>41</v>
      </c>
      <c r="O307" s="7">
        <v>210000</v>
      </c>
      <c r="P307" s="7">
        <v>0</v>
      </c>
      <c r="Q307" s="7">
        <v>210000</v>
      </c>
      <c r="R307" s="7">
        <f t="shared" si="21"/>
        <v>210000</v>
      </c>
      <c r="S307" t="s">
        <v>25</v>
      </c>
      <c r="T307" t="str">
        <f t="shared" si="22"/>
        <v>Transfer</v>
      </c>
      <c r="U307" t="s">
        <v>34</v>
      </c>
      <c r="V307">
        <v>4</v>
      </c>
      <c r="W307">
        <f t="shared" si="23"/>
        <v>4</v>
      </c>
      <c r="Y307" t="str">
        <f t="shared" si="24"/>
        <v/>
      </c>
      <c r="Z307" t="s">
        <v>48</v>
      </c>
      <c r="AC307" t="str">
        <f>IF(COUNTIF($A:$A,A307)&gt;1,"Duplicate","Unique")</f>
        <v>Unique</v>
      </c>
    </row>
    <row r="308" spans="1:29" x14ac:dyDescent="0.35">
      <c r="A308" t="s">
        <v>485</v>
      </c>
      <c r="B308" t="s">
        <v>486</v>
      </c>
      <c r="C308" s="9">
        <f t="shared" si="20"/>
        <v>45926</v>
      </c>
      <c r="D308" t="s">
        <v>53</v>
      </c>
      <c r="E308" t="str">
        <v>Surabaya</v>
      </c>
      <c r="F308" t="s">
        <v>30</v>
      </c>
      <c r="G308" t="s">
        <v>38</v>
      </c>
      <c r="H308" t="str">
        <v>Podcast Recording</v>
      </c>
      <c r="I308" t="s">
        <v>39</v>
      </c>
      <c r="J308" t="str">
        <v>Website</v>
      </c>
      <c r="K308" t="s">
        <v>71</v>
      </c>
      <c r="L308">
        <v>4</v>
      </c>
      <c r="M308">
        <v>4</v>
      </c>
      <c r="N308" t="s">
        <v>32</v>
      </c>
      <c r="O308" s="7">
        <v>700000</v>
      </c>
      <c r="P308" s="7">
        <v>105000</v>
      </c>
      <c r="Q308" s="7">
        <v>595000</v>
      </c>
      <c r="R308" s="7">
        <f t="shared" si="21"/>
        <v>595000</v>
      </c>
      <c r="S308" t="s">
        <v>33</v>
      </c>
      <c r="T308" t="str">
        <f t="shared" si="22"/>
        <v>Virtual Account</v>
      </c>
      <c r="U308" t="s">
        <v>34</v>
      </c>
      <c r="V308">
        <v>5</v>
      </c>
      <c r="W308">
        <f t="shared" si="23"/>
        <v>5</v>
      </c>
      <c r="Y308" t="str">
        <f t="shared" si="24"/>
        <v/>
      </c>
      <c r="Z308" t="s">
        <v>72</v>
      </c>
      <c r="AC308" t="str">
        <f>IF(COUNTIF($A:$A,A308)&gt;1,"Duplicate","Unique")</f>
        <v>Unique</v>
      </c>
    </row>
    <row r="309" spans="1:29" x14ac:dyDescent="0.35">
      <c r="A309" t="s">
        <v>487</v>
      </c>
      <c r="B309" s="2">
        <v>45820</v>
      </c>
      <c r="C309" s="9">
        <f t="shared" si="20"/>
        <v>45820</v>
      </c>
      <c r="D309" t="s">
        <v>45</v>
      </c>
      <c r="E309" t="str">
        <v>Malang</v>
      </c>
      <c r="F309" t="s">
        <v>30</v>
      </c>
      <c r="G309" t="s">
        <v>99</v>
      </c>
      <c r="H309" t="str">
        <v>Live Streaming</v>
      </c>
      <c r="I309" t="s">
        <v>39</v>
      </c>
      <c r="J309" t="str">
        <v>Website</v>
      </c>
      <c r="K309" t="s">
        <v>40</v>
      </c>
      <c r="L309">
        <v>2</v>
      </c>
      <c r="M309">
        <v>2</v>
      </c>
      <c r="N309" t="s">
        <v>41</v>
      </c>
      <c r="O309" s="7">
        <v>320000</v>
      </c>
      <c r="P309" s="7">
        <v>0</v>
      </c>
      <c r="Q309" s="7">
        <v>320000</v>
      </c>
      <c r="R309" s="7">
        <f t="shared" si="21"/>
        <v>320000</v>
      </c>
      <c r="S309" t="s">
        <v>42</v>
      </c>
      <c r="T309" t="str">
        <f t="shared" si="22"/>
        <v>E-Wallet</v>
      </c>
      <c r="U309" t="s">
        <v>34</v>
      </c>
      <c r="V309">
        <v>3</v>
      </c>
      <c r="W309">
        <f t="shared" si="23"/>
        <v>3</v>
      </c>
      <c r="Y309" t="str">
        <f t="shared" si="24"/>
        <v/>
      </c>
      <c r="Z309" t="s">
        <v>27</v>
      </c>
      <c r="AA309" t="s">
        <v>94</v>
      </c>
      <c r="AC309" t="str">
        <f>IF(COUNTIF($A:$A,A309)&gt;1,"Duplicate","Unique")</f>
        <v>Unique</v>
      </c>
    </row>
    <row r="310" spans="1:29" x14ac:dyDescent="0.35">
      <c r="A310" t="s">
        <v>488</v>
      </c>
      <c r="B310" s="2">
        <v>46008</v>
      </c>
      <c r="C310" s="9">
        <f t="shared" si="20"/>
        <v>46008</v>
      </c>
      <c r="D310" t="s">
        <v>58</v>
      </c>
      <c r="E310" t="str">
        <v>Jakarta</v>
      </c>
      <c r="F310" t="s">
        <v>80</v>
      </c>
      <c r="G310" t="s">
        <v>103</v>
      </c>
      <c r="H310" t="str">
        <v>Video Podcast</v>
      </c>
      <c r="I310" t="s">
        <v>54</v>
      </c>
      <c r="J310" t="str">
        <v>Referral</v>
      </c>
      <c r="K310" t="s">
        <v>66</v>
      </c>
      <c r="L310" t="s">
        <v>88</v>
      </c>
      <c r="M310">
        <v>1</v>
      </c>
      <c r="N310" t="s">
        <v>41</v>
      </c>
      <c r="O310" s="7">
        <v>225000</v>
      </c>
      <c r="P310" s="7">
        <v>0</v>
      </c>
      <c r="Q310" s="7">
        <v>225000</v>
      </c>
      <c r="R310" s="7">
        <f t="shared" si="21"/>
        <v>225000</v>
      </c>
      <c r="T310" t="str">
        <f t="shared" si="22"/>
        <v/>
      </c>
      <c r="U310" t="s">
        <v>34</v>
      </c>
      <c r="W310" t="str">
        <f t="shared" si="23"/>
        <v/>
      </c>
      <c r="Y310" t="str">
        <f t="shared" si="24"/>
        <v/>
      </c>
      <c r="Z310" t="s">
        <v>43</v>
      </c>
      <c r="AA310" t="s">
        <v>35</v>
      </c>
      <c r="AC310" t="str">
        <f>IF(COUNTIF($A:$A,A310)&gt;1,"Duplicate","Unique")</f>
        <v>Unique</v>
      </c>
    </row>
    <row r="311" spans="1:29" x14ac:dyDescent="0.35">
      <c r="A311" t="s">
        <v>489</v>
      </c>
      <c r="B311" s="2">
        <v>45899</v>
      </c>
      <c r="C311" s="9">
        <f t="shared" si="20"/>
        <v>45899</v>
      </c>
      <c r="D311" t="s">
        <v>69</v>
      </c>
      <c r="E311" t="str">
        <v>Yogyakarta</v>
      </c>
      <c r="F311" t="s">
        <v>59</v>
      </c>
      <c r="G311" t="s">
        <v>222</v>
      </c>
      <c r="H311" t="str">
        <v>Content Batch</v>
      </c>
      <c r="I311" t="s">
        <v>74</v>
      </c>
      <c r="J311" t="str">
        <v>Referral</v>
      </c>
      <c r="K311" t="s">
        <v>47</v>
      </c>
      <c r="L311">
        <v>1</v>
      </c>
      <c r="M311">
        <v>1</v>
      </c>
      <c r="N311" t="s">
        <v>41</v>
      </c>
      <c r="O311" s="7">
        <v>175000</v>
      </c>
      <c r="P311" s="7">
        <v>8750</v>
      </c>
      <c r="Q311" s="7">
        <v>166250</v>
      </c>
      <c r="R311" s="7">
        <f t="shared" si="21"/>
        <v>166250</v>
      </c>
      <c r="S311" t="s">
        <v>33</v>
      </c>
      <c r="T311" t="str">
        <f t="shared" si="22"/>
        <v>Virtual Account</v>
      </c>
      <c r="U311" t="s">
        <v>56</v>
      </c>
      <c r="V311">
        <v>5</v>
      </c>
      <c r="W311">
        <f t="shared" si="23"/>
        <v>5</v>
      </c>
      <c r="Y311" t="str">
        <f t="shared" si="24"/>
        <v/>
      </c>
      <c r="Z311" t="s">
        <v>43</v>
      </c>
      <c r="AA311" t="s">
        <v>94</v>
      </c>
      <c r="AC311" t="str">
        <f>IF(COUNTIF($A:$A,A311)&gt;1,"Duplicate","Unique")</f>
        <v>Unique</v>
      </c>
    </row>
    <row r="312" spans="1:29" x14ac:dyDescent="0.35">
      <c r="A312" t="s">
        <v>490</v>
      </c>
      <c r="B312" t="s">
        <v>491</v>
      </c>
      <c r="C312" s="9">
        <f t="shared" si="20"/>
        <v>45760</v>
      </c>
      <c r="D312" t="s">
        <v>53</v>
      </c>
      <c r="E312" t="str">
        <v>Surabaya</v>
      </c>
      <c r="F312" t="s">
        <v>59</v>
      </c>
      <c r="G312" t="s">
        <v>90</v>
      </c>
      <c r="H312" t="str">
        <v>Voice Over</v>
      </c>
      <c r="I312" t="s">
        <v>84</v>
      </c>
      <c r="J312" t="str">
        <v>Instagram</v>
      </c>
      <c r="K312" t="s">
        <v>47</v>
      </c>
      <c r="L312">
        <v>3</v>
      </c>
      <c r="M312">
        <v>3</v>
      </c>
      <c r="N312" t="s">
        <v>32</v>
      </c>
      <c r="O312" s="7">
        <v>570000</v>
      </c>
      <c r="P312" s="7">
        <v>0</v>
      </c>
      <c r="Q312" s="7">
        <v>570000</v>
      </c>
      <c r="R312" s="7">
        <f t="shared" si="21"/>
        <v>570000</v>
      </c>
      <c r="S312" t="s">
        <v>42</v>
      </c>
      <c r="T312" t="str">
        <f t="shared" si="22"/>
        <v>E-Wallet</v>
      </c>
      <c r="U312" t="s">
        <v>56</v>
      </c>
      <c r="V312">
        <v>4</v>
      </c>
      <c r="W312">
        <f t="shared" si="23"/>
        <v>4</v>
      </c>
      <c r="Y312" t="str">
        <f t="shared" si="24"/>
        <v/>
      </c>
      <c r="Z312" t="s">
        <v>43</v>
      </c>
      <c r="AA312" t="s">
        <v>96</v>
      </c>
      <c r="AC312" t="str">
        <f>IF(COUNTIF($A:$A,A312)&gt;1,"Duplicate","Unique")</f>
        <v>Unique</v>
      </c>
    </row>
    <row r="313" spans="1:29" x14ac:dyDescent="0.35">
      <c r="A313" t="s">
        <v>492</v>
      </c>
      <c r="B313" s="2">
        <v>45950</v>
      </c>
      <c r="C313" s="9">
        <f t="shared" si="20"/>
        <v>45950</v>
      </c>
      <c r="D313" t="s">
        <v>178</v>
      </c>
      <c r="E313" t="str">
        <v>Bandung</v>
      </c>
      <c r="F313" t="s">
        <v>20</v>
      </c>
      <c r="G313" t="s">
        <v>38</v>
      </c>
      <c r="H313" t="str">
        <v>Podcast Recording</v>
      </c>
      <c r="I313" t="s">
        <v>112</v>
      </c>
      <c r="J313" t="str">
        <v>Marketplace</v>
      </c>
      <c r="K313" t="s">
        <v>71</v>
      </c>
      <c r="L313">
        <v>1</v>
      </c>
      <c r="M313">
        <v>1</v>
      </c>
      <c r="N313" t="s">
        <v>41</v>
      </c>
      <c r="O313" s="7">
        <v>120000</v>
      </c>
      <c r="P313" s="7">
        <v>18000</v>
      </c>
      <c r="Q313" s="7">
        <v>102000</v>
      </c>
      <c r="R313" s="7">
        <f t="shared" si="21"/>
        <v>102000</v>
      </c>
      <c r="S313" t="s">
        <v>25</v>
      </c>
      <c r="T313" t="str">
        <f t="shared" si="22"/>
        <v>Transfer</v>
      </c>
      <c r="U313" t="s">
        <v>34</v>
      </c>
      <c r="W313" t="str">
        <f t="shared" si="23"/>
        <v/>
      </c>
      <c r="Y313" t="str">
        <f t="shared" si="24"/>
        <v/>
      </c>
      <c r="Z313" t="s">
        <v>48</v>
      </c>
      <c r="AC313" t="str">
        <f>IF(COUNTIF($A:$A,A313)&gt;1,"Duplicate","Unique")</f>
        <v>Unique</v>
      </c>
    </row>
    <row r="314" spans="1:29" x14ac:dyDescent="0.35">
      <c r="A314" t="s">
        <v>493</v>
      </c>
      <c r="B314" s="2">
        <v>45880</v>
      </c>
      <c r="C314" s="9">
        <f t="shared" si="20"/>
        <v>45880</v>
      </c>
      <c r="D314" t="s">
        <v>69</v>
      </c>
      <c r="E314" t="str">
        <v>Yogyakarta</v>
      </c>
      <c r="F314" t="s">
        <v>30</v>
      </c>
      <c r="G314" t="s">
        <v>38</v>
      </c>
      <c r="H314" t="str">
        <v>Podcast Recording</v>
      </c>
      <c r="I314" t="s">
        <v>39</v>
      </c>
      <c r="J314" t="str">
        <v>Website</v>
      </c>
      <c r="K314" t="s">
        <v>23</v>
      </c>
      <c r="L314">
        <v>3</v>
      </c>
      <c r="M314">
        <v>3</v>
      </c>
      <c r="N314" t="s">
        <v>32</v>
      </c>
      <c r="O314" s="7">
        <v>525000</v>
      </c>
      <c r="P314" s="7">
        <v>26250</v>
      </c>
      <c r="Q314" s="7">
        <v>498750</v>
      </c>
      <c r="R314" s="7">
        <f t="shared" si="21"/>
        <v>498750</v>
      </c>
      <c r="S314" t="s">
        <v>33</v>
      </c>
      <c r="T314" t="str">
        <f t="shared" si="22"/>
        <v>Virtual Account</v>
      </c>
      <c r="U314" t="s">
        <v>34</v>
      </c>
      <c r="V314">
        <v>4</v>
      </c>
      <c r="W314">
        <f t="shared" si="23"/>
        <v>4</v>
      </c>
      <c r="Y314" t="str">
        <f t="shared" si="24"/>
        <v/>
      </c>
      <c r="Z314" t="s">
        <v>48</v>
      </c>
      <c r="AA314" t="s">
        <v>96</v>
      </c>
      <c r="AC314" t="str">
        <f>IF(COUNTIF($A:$A,A314)&gt;1,"Duplicate","Unique")</f>
        <v>Unique</v>
      </c>
    </row>
    <row r="315" spans="1:29" x14ac:dyDescent="0.35">
      <c r="A315" t="s">
        <v>494</v>
      </c>
      <c r="B315" t="s">
        <v>495</v>
      </c>
      <c r="C315" s="9">
        <f t="shared" si="20"/>
        <v>45888</v>
      </c>
      <c r="D315" t="s">
        <v>37</v>
      </c>
      <c r="E315" t="str">
        <v>Bandung</v>
      </c>
      <c r="F315" t="s">
        <v>59</v>
      </c>
      <c r="G315" t="s">
        <v>90</v>
      </c>
      <c r="H315" t="str">
        <v>Voice Over</v>
      </c>
      <c r="I315" t="s">
        <v>54</v>
      </c>
      <c r="J315" t="str">
        <v>Referral</v>
      </c>
      <c r="K315" t="s">
        <v>47</v>
      </c>
      <c r="L315">
        <v>4</v>
      </c>
      <c r="M315">
        <v>4</v>
      </c>
      <c r="N315" t="s">
        <v>41</v>
      </c>
      <c r="O315" s="7">
        <v>700000</v>
      </c>
      <c r="P315" s="7">
        <v>105000</v>
      </c>
      <c r="Q315" s="7">
        <v>595000</v>
      </c>
      <c r="R315" s="7">
        <f t="shared" si="21"/>
        <v>595000</v>
      </c>
      <c r="T315" t="str">
        <f t="shared" si="22"/>
        <v/>
      </c>
      <c r="U315" t="s">
        <v>34</v>
      </c>
      <c r="V315">
        <v>4</v>
      </c>
      <c r="W315">
        <f t="shared" si="23"/>
        <v>4</v>
      </c>
      <c r="Y315" t="str">
        <f t="shared" si="24"/>
        <v/>
      </c>
      <c r="Z315" t="s">
        <v>27</v>
      </c>
      <c r="AA315" t="s">
        <v>94</v>
      </c>
      <c r="AC315" t="str">
        <f>IF(COUNTIF($A:$A,A315)&gt;1,"Duplicate","Unique")</f>
        <v>Unique</v>
      </c>
    </row>
    <row r="316" spans="1:29" x14ac:dyDescent="0.35">
      <c r="A316" t="s">
        <v>496</v>
      </c>
      <c r="B316" s="2">
        <v>45968</v>
      </c>
      <c r="C316" s="9">
        <f t="shared" si="20"/>
        <v>45968</v>
      </c>
      <c r="D316" t="s">
        <v>45</v>
      </c>
      <c r="E316" t="str">
        <v>Malang</v>
      </c>
      <c r="F316" t="s">
        <v>20</v>
      </c>
      <c r="G316" t="s">
        <v>38</v>
      </c>
      <c r="H316" t="str">
        <v>Podcast Recording</v>
      </c>
      <c r="I316" t="s">
        <v>22</v>
      </c>
      <c r="J316" t="str">
        <v>Whatsapp</v>
      </c>
      <c r="K316" t="s">
        <v>71</v>
      </c>
      <c r="L316" t="s">
        <v>124</v>
      </c>
      <c r="M316">
        <v>3</v>
      </c>
      <c r="N316" t="s">
        <v>41</v>
      </c>
      <c r="O316" s="7">
        <v>360000</v>
      </c>
      <c r="P316" s="7">
        <v>0</v>
      </c>
      <c r="Q316" s="7">
        <v>360000</v>
      </c>
      <c r="R316" s="7">
        <f t="shared" si="21"/>
        <v>360000</v>
      </c>
      <c r="S316" t="s">
        <v>33</v>
      </c>
      <c r="T316" t="str">
        <f t="shared" si="22"/>
        <v>Virtual Account</v>
      </c>
      <c r="U316" t="s">
        <v>34</v>
      </c>
      <c r="V316">
        <v>5</v>
      </c>
      <c r="W316">
        <f t="shared" si="23"/>
        <v>5</v>
      </c>
      <c r="Y316" t="str">
        <f t="shared" si="24"/>
        <v/>
      </c>
      <c r="Z316" t="s">
        <v>72</v>
      </c>
      <c r="AC316" t="str">
        <f>IF(COUNTIF($A:$A,A316)&gt;1,"Duplicate","Unique")</f>
        <v>Unique</v>
      </c>
    </row>
    <row r="317" spans="1:29" x14ac:dyDescent="0.35">
      <c r="A317" t="s">
        <v>497</v>
      </c>
      <c r="B317" s="2">
        <v>45723</v>
      </c>
      <c r="C317" s="9">
        <f t="shared" si="20"/>
        <v>45723</v>
      </c>
      <c r="D317" t="s">
        <v>69</v>
      </c>
      <c r="E317" t="str">
        <v>Yogyakarta</v>
      </c>
      <c r="F317" t="s">
        <v>59</v>
      </c>
      <c r="G317" t="s">
        <v>21</v>
      </c>
      <c r="H317" t="str">
        <v>Content Batch</v>
      </c>
      <c r="I317" t="s">
        <v>22</v>
      </c>
      <c r="J317" t="str">
        <v>Whatsapp</v>
      </c>
      <c r="K317" t="s">
        <v>66</v>
      </c>
      <c r="L317" t="s">
        <v>51</v>
      </c>
      <c r="M317">
        <v>4</v>
      </c>
      <c r="N317" t="s">
        <v>41</v>
      </c>
      <c r="O317" s="7">
        <v>700000</v>
      </c>
      <c r="P317" s="7">
        <v>70000</v>
      </c>
      <c r="Q317" s="7">
        <v>630000</v>
      </c>
      <c r="R317" s="7">
        <f t="shared" si="21"/>
        <v>630000</v>
      </c>
      <c r="S317" t="s">
        <v>33</v>
      </c>
      <c r="T317" t="str">
        <f t="shared" si="22"/>
        <v>Virtual Account</v>
      </c>
      <c r="U317" t="s">
        <v>56</v>
      </c>
      <c r="V317">
        <v>4</v>
      </c>
      <c r="W317">
        <f t="shared" si="23"/>
        <v>4</v>
      </c>
      <c r="Y317" t="str">
        <f t="shared" si="24"/>
        <v/>
      </c>
      <c r="Z317" t="s">
        <v>60</v>
      </c>
      <c r="AA317" t="s">
        <v>96</v>
      </c>
      <c r="AC317" t="str">
        <f>IF(COUNTIF($A:$A,A317)&gt;1,"Duplicate","Unique")</f>
        <v>Unique</v>
      </c>
    </row>
    <row r="318" spans="1:29" x14ac:dyDescent="0.35">
      <c r="A318" t="s">
        <v>498</v>
      </c>
      <c r="B318" s="2">
        <v>45751</v>
      </c>
      <c r="C318" s="9">
        <f t="shared" si="20"/>
        <v>45751</v>
      </c>
      <c r="D318" t="s">
        <v>58</v>
      </c>
      <c r="E318" t="str">
        <v>Jakarta</v>
      </c>
      <c r="F318" t="s">
        <v>30</v>
      </c>
      <c r="G318" t="s">
        <v>31</v>
      </c>
      <c r="H318" t="str">
        <v>Product Photoshoot</v>
      </c>
      <c r="I318" t="s">
        <v>39</v>
      </c>
      <c r="J318" t="str">
        <v>Website</v>
      </c>
      <c r="K318" t="s">
        <v>66</v>
      </c>
      <c r="L318">
        <v>2</v>
      </c>
      <c r="M318">
        <v>2</v>
      </c>
      <c r="N318" t="s">
        <v>41</v>
      </c>
      <c r="O318" s="7">
        <v>320000</v>
      </c>
      <c r="P318" s="7">
        <v>48000</v>
      </c>
      <c r="Q318" s="7">
        <v>272000</v>
      </c>
      <c r="R318" s="7">
        <f t="shared" si="21"/>
        <v>272000</v>
      </c>
      <c r="S318" t="s">
        <v>78</v>
      </c>
      <c r="T318" t="str">
        <f t="shared" si="22"/>
        <v>Cash</v>
      </c>
      <c r="U318" t="s">
        <v>34</v>
      </c>
      <c r="V318">
        <v>5</v>
      </c>
      <c r="W318">
        <f t="shared" si="23"/>
        <v>5</v>
      </c>
      <c r="Y318" t="str">
        <f t="shared" si="24"/>
        <v/>
      </c>
      <c r="Z318" t="s">
        <v>48</v>
      </c>
      <c r="AA318" t="s">
        <v>96</v>
      </c>
      <c r="AC318" t="str">
        <f>IF(COUNTIF($A:$A,A318)&gt;1,"Duplicate","Unique")</f>
        <v>Unique</v>
      </c>
    </row>
    <row r="319" spans="1:29" x14ac:dyDescent="0.35">
      <c r="A319" t="s">
        <v>499</v>
      </c>
      <c r="B319" s="2">
        <v>45997</v>
      </c>
      <c r="C319" s="9">
        <f t="shared" si="20"/>
        <v>45997</v>
      </c>
      <c r="D319" t="s">
        <v>162</v>
      </c>
      <c r="E319" t="str">
        <v>Malang</v>
      </c>
      <c r="F319" t="s">
        <v>46</v>
      </c>
      <c r="G319" t="s">
        <v>90</v>
      </c>
      <c r="H319" t="str">
        <v>Voice Over</v>
      </c>
      <c r="I319" t="s">
        <v>84</v>
      </c>
      <c r="J319" t="str">
        <v>Instagram</v>
      </c>
      <c r="K319" t="s">
        <v>71</v>
      </c>
      <c r="L319">
        <v>1</v>
      </c>
      <c r="M319">
        <v>1</v>
      </c>
      <c r="N319" t="s">
        <v>55</v>
      </c>
      <c r="O319" s="7">
        <v>250000</v>
      </c>
      <c r="P319" s="7">
        <v>12500</v>
      </c>
      <c r="Q319" s="7">
        <v>237500</v>
      </c>
      <c r="R319" s="7">
        <f t="shared" si="21"/>
        <v>237500</v>
      </c>
      <c r="S319" t="s">
        <v>42</v>
      </c>
      <c r="T319" t="str">
        <f t="shared" si="22"/>
        <v>E-Wallet</v>
      </c>
      <c r="U319" t="s">
        <v>34</v>
      </c>
      <c r="V319">
        <v>5</v>
      </c>
      <c r="W319">
        <f t="shared" si="23"/>
        <v>5</v>
      </c>
      <c r="Y319" t="str">
        <f t="shared" si="24"/>
        <v/>
      </c>
      <c r="Z319" t="s">
        <v>72</v>
      </c>
      <c r="AC319" t="str">
        <f>IF(COUNTIF($A:$A,A319)&gt;1,"Duplicate","Unique")</f>
        <v>Unique</v>
      </c>
    </row>
    <row r="320" spans="1:29" x14ac:dyDescent="0.35">
      <c r="A320" t="s">
        <v>500</v>
      </c>
      <c r="B320" s="2">
        <v>45893</v>
      </c>
      <c r="C320" s="9">
        <f t="shared" si="20"/>
        <v>45893</v>
      </c>
      <c r="D320" t="s">
        <v>69</v>
      </c>
      <c r="E320" t="str">
        <v>Yogyakarta</v>
      </c>
      <c r="F320" t="s">
        <v>30</v>
      </c>
      <c r="G320" t="s">
        <v>21</v>
      </c>
      <c r="H320" t="str">
        <v>Content Batch</v>
      </c>
      <c r="I320" t="s">
        <v>22</v>
      </c>
      <c r="J320" t="str">
        <v>Whatsapp</v>
      </c>
      <c r="K320" t="s">
        <v>71</v>
      </c>
      <c r="L320">
        <v>3</v>
      </c>
      <c r="M320">
        <v>3</v>
      </c>
      <c r="N320" t="s">
        <v>32</v>
      </c>
      <c r="O320" s="7">
        <v>525000</v>
      </c>
      <c r="P320" s="7">
        <v>0</v>
      </c>
      <c r="Q320" s="7">
        <v>525000</v>
      </c>
      <c r="R320" s="7">
        <f t="shared" si="21"/>
        <v>525000</v>
      </c>
      <c r="S320" t="s">
        <v>33</v>
      </c>
      <c r="T320" t="str">
        <f t="shared" si="22"/>
        <v>Virtual Account</v>
      </c>
      <c r="U320" t="s">
        <v>34</v>
      </c>
      <c r="V320">
        <v>5</v>
      </c>
      <c r="W320">
        <f t="shared" si="23"/>
        <v>5</v>
      </c>
      <c r="Y320" t="str">
        <f t="shared" si="24"/>
        <v/>
      </c>
      <c r="Z320" t="s">
        <v>72</v>
      </c>
      <c r="AA320" t="s">
        <v>94</v>
      </c>
      <c r="AC320" t="str">
        <f>IF(COUNTIF($A:$A,A320)&gt;1,"Duplicate","Unique")</f>
        <v>Unique</v>
      </c>
    </row>
    <row r="321" spans="1:29" x14ac:dyDescent="0.35">
      <c r="A321" t="s">
        <v>501</v>
      </c>
      <c r="B321" s="2">
        <v>45862</v>
      </c>
      <c r="C321" s="9">
        <f t="shared" si="20"/>
        <v>45862</v>
      </c>
      <c r="D321" t="s">
        <v>53</v>
      </c>
      <c r="E321" t="str">
        <v>Surabaya</v>
      </c>
      <c r="F321" t="s">
        <v>46</v>
      </c>
      <c r="G321" t="s">
        <v>103</v>
      </c>
      <c r="H321" t="str">
        <v>Video Podcast</v>
      </c>
      <c r="I321" t="s">
        <v>54</v>
      </c>
      <c r="J321" t="str">
        <v>Referral</v>
      </c>
      <c r="K321" t="s">
        <v>47</v>
      </c>
      <c r="L321" t="s">
        <v>88</v>
      </c>
      <c r="M321">
        <v>1</v>
      </c>
      <c r="N321" t="s">
        <v>32</v>
      </c>
      <c r="O321" s="7">
        <v>225000</v>
      </c>
      <c r="P321" s="7">
        <v>11250</v>
      </c>
      <c r="Q321" s="7">
        <v>213750</v>
      </c>
      <c r="R321" s="7">
        <f t="shared" si="21"/>
        <v>213750</v>
      </c>
      <c r="T321" t="str">
        <f t="shared" si="22"/>
        <v/>
      </c>
      <c r="U321" t="s">
        <v>34</v>
      </c>
      <c r="V321">
        <v>4</v>
      </c>
      <c r="W321">
        <f t="shared" si="23"/>
        <v>4</v>
      </c>
      <c r="Y321" t="str">
        <f t="shared" si="24"/>
        <v/>
      </c>
      <c r="Z321" t="s">
        <v>27</v>
      </c>
      <c r="AA321" t="s">
        <v>94</v>
      </c>
      <c r="AC321" t="str">
        <f>IF(COUNTIF($A:$A,A321)&gt;1,"Duplicate","Unique")</f>
        <v>Unique</v>
      </c>
    </row>
  </sheetData>
  <autoFilter ref="A1:AA321" xr:uid="{00000000-0009-0000-0000-000000000000}"/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57A52-7DBE-444E-886A-55D03BAF04C6}">
  <dimension ref="A1:R321"/>
  <sheetViews>
    <sheetView tabSelected="1" topLeftCell="E1" workbookViewId="0">
      <selection activeCell="G10" sqref="G10"/>
    </sheetView>
  </sheetViews>
  <sheetFormatPr defaultRowHeight="14.5" x14ac:dyDescent="0.35"/>
  <cols>
    <col min="1" max="1" width="12.54296875" bestFit="1" customWidth="1"/>
    <col min="2" max="2" width="14.26953125" bestFit="1" customWidth="1"/>
    <col min="3" max="3" width="10" bestFit="1" customWidth="1"/>
    <col min="4" max="4" width="18.36328125" bestFit="1" customWidth="1"/>
    <col min="5" max="5" width="17.54296875" bestFit="1" customWidth="1"/>
    <col min="6" max="6" width="17.1796875" bestFit="1" customWidth="1"/>
    <col min="7" max="7" width="19.08984375" bestFit="1" customWidth="1"/>
    <col min="8" max="8" width="17.36328125" style="12" bestFit="1" customWidth="1"/>
    <col min="9" max="9" width="19.7265625" bestFit="1" customWidth="1"/>
    <col min="10" max="10" width="14.81640625" bestFit="1" customWidth="1"/>
    <col min="11" max="11" width="17.81640625" bestFit="1" customWidth="1"/>
    <col min="12" max="12" width="14.81640625" bestFit="1" customWidth="1"/>
    <col min="13" max="13" width="17.81640625" bestFit="1" customWidth="1"/>
    <col min="14" max="14" width="15.6328125" bestFit="1" customWidth="1"/>
    <col min="15" max="15" width="17.90625" bestFit="1" customWidth="1"/>
    <col min="16" max="16" width="20.08984375" bestFit="1" customWidth="1"/>
    <col min="17" max="17" width="14.81640625" bestFit="1" customWidth="1"/>
    <col min="18" max="18" width="20.54296875" bestFit="1" customWidth="1"/>
  </cols>
  <sheetData>
    <row r="1" spans="1:18" s="10" customFormat="1" x14ac:dyDescent="0.35">
      <c r="A1" s="10" t="s">
        <v>548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</row>
    <row r="2" spans="1:18" x14ac:dyDescent="0.35">
      <c r="A2" t="s">
        <v>18</v>
      </c>
      <c r="B2" s="9">
        <v>45985</v>
      </c>
      <c r="C2" t="s">
        <v>58</v>
      </c>
      <c r="D2" t="s">
        <v>20</v>
      </c>
      <c r="E2" t="s">
        <v>21</v>
      </c>
      <c r="F2" t="s">
        <v>549</v>
      </c>
      <c r="G2" t="s">
        <v>23</v>
      </c>
      <c r="H2" s="12">
        <v>3</v>
      </c>
      <c r="I2" t="s">
        <v>24</v>
      </c>
      <c r="J2" s="7">
        <v>255000</v>
      </c>
      <c r="K2" s="7">
        <v>25500</v>
      </c>
      <c r="L2" s="7">
        <v>229500</v>
      </c>
      <c r="M2" t="s">
        <v>25</v>
      </c>
      <c r="N2" t="s">
        <v>26</v>
      </c>
      <c r="O2">
        <v>4</v>
      </c>
      <c r="P2" t="s">
        <v>551</v>
      </c>
      <c r="Q2" t="s">
        <v>27</v>
      </c>
    </row>
    <row r="3" spans="1:18" x14ac:dyDescent="0.35">
      <c r="A3" t="s">
        <v>28</v>
      </c>
      <c r="B3" s="9">
        <v>45661</v>
      </c>
      <c r="C3" t="s">
        <v>37</v>
      </c>
      <c r="D3" t="s">
        <v>30</v>
      </c>
      <c r="E3" t="s">
        <v>31</v>
      </c>
      <c r="F3" t="s">
        <v>549</v>
      </c>
      <c r="G3" t="s">
        <v>23</v>
      </c>
      <c r="H3" s="12">
        <v>1</v>
      </c>
      <c r="I3" t="s">
        <v>32</v>
      </c>
      <c r="J3" s="7">
        <v>175000</v>
      </c>
      <c r="K3" s="7">
        <v>0</v>
      </c>
      <c r="L3" s="7">
        <v>175000</v>
      </c>
      <c r="M3" t="s">
        <v>33</v>
      </c>
      <c r="N3" t="s">
        <v>34</v>
      </c>
      <c r="O3">
        <v>4</v>
      </c>
      <c r="P3" t="s">
        <v>550</v>
      </c>
      <c r="Q3" t="s">
        <v>27</v>
      </c>
      <c r="R3" t="s">
        <v>35</v>
      </c>
    </row>
    <row r="4" spans="1:18" x14ac:dyDescent="0.35">
      <c r="A4" t="s">
        <v>36</v>
      </c>
      <c r="B4" s="9">
        <v>45953</v>
      </c>
      <c r="C4" t="s">
        <v>37</v>
      </c>
      <c r="D4" t="s">
        <v>20</v>
      </c>
      <c r="E4" t="s">
        <v>38</v>
      </c>
      <c r="F4" t="s">
        <v>39</v>
      </c>
      <c r="G4" t="s">
        <v>40</v>
      </c>
      <c r="H4" s="12">
        <v>2</v>
      </c>
      <c r="I4" t="s">
        <v>41</v>
      </c>
      <c r="J4" s="7">
        <v>240000</v>
      </c>
      <c r="K4" s="7">
        <v>12000</v>
      </c>
      <c r="L4" s="7">
        <v>228000</v>
      </c>
      <c r="M4" t="s">
        <v>42</v>
      </c>
      <c r="N4" t="s">
        <v>34</v>
      </c>
      <c r="O4">
        <v>5</v>
      </c>
      <c r="P4" t="s">
        <v>550</v>
      </c>
      <c r="Q4" t="s">
        <v>43</v>
      </c>
      <c r="R4" t="s">
        <v>35</v>
      </c>
    </row>
    <row r="5" spans="1:18" x14ac:dyDescent="0.35">
      <c r="A5" t="s">
        <v>44</v>
      </c>
      <c r="B5" s="9">
        <v>45796</v>
      </c>
      <c r="C5" t="s">
        <v>45</v>
      </c>
      <c r="D5" t="s">
        <v>46</v>
      </c>
      <c r="E5" t="s">
        <v>21</v>
      </c>
      <c r="F5" t="s">
        <v>549</v>
      </c>
      <c r="G5" t="s">
        <v>47</v>
      </c>
      <c r="H5" s="12">
        <v>2</v>
      </c>
      <c r="I5" t="s">
        <v>41</v>
      </c>
      <c r="J5" s="7">
        <v>420000</v>
      </c>
      <c r="K5" s="7">
        <v>0</v>
      </c>
      <c r="L5" s="7">
        <v>420000</v>
      </c>
      <c r="M5" t="s">
        <v>25</v>
      </c>
      <c r="N5" t="s">
        <v>34</v>
      </c>
      <c r="O5">
        <v>4</v>
      </c>
      <c r="P5" t="s">
        <v>550</v>
      </c>
      <c r="Q5" t="s">
        <v>48</v>
      </c>
      <c r="R5" t="s">
        <v>49</v>
      </c>
    </row>
    <row r="6" spans="1:18" x14ac:dyDescent="0.35">
      <c r="A6" t="s">
        <v>50</v>
      </c>
      <c r="B6" s="9">
        <v>45877</v>
      </c>
      <c r="C6" t="s">
        <v>45</v>
      </c>
      <c r="D6" t="s">
        <v>30</v>
      </c>
      <c r="E6" t="s">
        <v>31</v>
      </c>
      <c r="F6" t="s">
        <v>39</v>
      </c>
      <c r="G6" t="s">
        <v>23</v>
      </c>
      <c r="H6" s="12">
        <v>4</v>
      </c>
      <c r="I6" t="s">
        <v>24</v>
      </c>
      <c r="J6" s="7">
        <v>500000</v>
      </c>
      <c r="K6" s="7">
        <v>0</v>
      </c>
      <c r="L6" s="7">
        <v>500000</v>
      </c>
      <c r="M6" t="s">
        <v>25</v>
      </c>
      <c r="N6" t="s">
        <v>34</v>
      </c>
      <c r="O6">
        <v>5</v>
      </c>
      <c r="P6" t="s">
        <v>550</v>
      </c>
      <c r="Q6" t="s">
        <v>48</v>
      </c>
    </row>
    <row r="7" spans="1:18" x14ac:dyDescent="0.35">
      <c r="A7" t="s">
        <v>52</v>
      </c>
      <c r="B7" s="9">
        <v>45794</v>
      </c>
      <c r="C7" t="s">
        <v>53</v>
      </c>
      <c r="D7" t="s">
        <v>20</v>
      </c>
      <c r="E7" t="s">
        <v>31</v>
      </c>
      <c r="F7" t="s">
        <v>54</v>
      </c>
      <c r="G7" t="s">
        <v>23</v>
      </c>
      <c r="H7" s="12">
        <v>4</v>
      </c>
      <c r="I7" t="s">
        <v>55</v>
      </c>
      <c r="J7" s="7">
        <v>640000</v>
      </c>
      <c r="K7" s="7">
        <v>64000</v>
      </c>
      <c r="L7" s="7">
        <v>576000</v>
      </c>
      <c r="M7" t="s">
        <v>33</v>
      </c>
      <c r="N7" t="s">
        <v>56</v>
      </c>
      <c r="O7">
        <v>3</v>
      </c>
      <c r="P7" t="s">
        <v>550</v>
      </c>
      <c r="Q7" t="s">
        <v>43</v>
      </c>
      <c r="R7" t="s">
        <v>35</v>
      </c>
    </row>
    <row r="8" spans="1:18" x14ac:dyDescent="0.35">
      <c r="A8" t="s">
        <v>57</v>
      </c>
      <c r="B8" s="9">
        <v>45667</v>
      </c>
      <c r="C8" t="s">
        <v>58</v>
      </c>
      <c r="D8" t="s">
        <v>59</v>
      </c>
      <c r="E8" t="s">
        <v>31</v>
      </c>
      <c r="F8" t="s">
        <v>39</v>
      </c>
      <c r="G8" t="s">
        <v>47</v>
      </c>
      <c r="H8" s="12">
        <v>3</v>
      </c>
      <c r="I8" t="s">
        <v>32</v>
      </c>
      <c r="J8" s="7">
        <v>570000</v>
      </c>
      <c r="K8" s="7">
        <v>0</v>
      </c>
      <c r="L8" s="7">
        <v>570000</v>
      </c>
      <c r="M8" t="s">
        <v>25</v>
      </c>
      <c r="N8" t="s">
        <v>34</v>
      </c>
      <c r="O8" t="s">
        <v>550</v>
      </c>
      <c r="Q8" t="s">
        <v>60</v>
      </c>
      <c r="R8" t="s">
        <v>49</v>
      </c>
    </row>
    <row r="9" spans="1:18" x14ac:dyDescent="0.35">
      <c r="A9" t="s">
        <v>61</v>
      </c>
      <c r="B9" s="9">
        <v>45817</v>
      </c>
      <c r="C9" t="s">
        <v>69</v>
      </c>
      <c r="D9" t="s">
        <v>59</v>
      </c>
      <c r="E9" t="s">
        <v>99</v>
      </c>
      <c r="F9" t="s">
        <v>112</v>
      </c>
      <c r="G9" t="s">
        <v>66</v>
      </c>
      <c r="H9" s="12">
        <v>1</v>
      </c>
      <c r="I9" t="s">
        <v>24</v>
      </c>
      <c r="J9" s="7">
        <v>140000</v>
      </c>
      <c r="K9" s="7">
        <v>14000</v>
      </c>
      <c r="L9" s="7">
        <v>126000</v>
      </c>
      <c r="M9" t="s">
        <v>42</v>
      </c>
      <c r="N9" t="s">
        <v>34</v>
      </c>
      <c r="O9">
        <v>5</v>
      </c>
      <c r="P9" t="s">
        <v>550</v>
      </c>
      <c r="Q9" t="s">
        <v>27</v>
      </c>
    </row>
    <row r="10" spans="1:18" x14ac:dyDescent="0.35">
      <c r="A10" t="s">
        <v>67</v>
      </c>
      <c r="B10" s="9">
        <v>46000</v>
      </c>
      <c r="C10" t="s">
        <v>69</v>
      </c>
      <c r="D10" t="s">
        <v>46</v>
      </c>
      <c r="E10" t="s">
        <v>90</v>
      </c>
      <c r="F10" t="s">
        <v>39</v>
      </c>
      <c r="G10" t="s">
        <v>71</v>
      </c>
      <c r="H10" s="12">
        <v>4</v>
      </c>
      <c r="I10" t="s">
        <v>32</v>
      </c>
      <c r="J10" s="7">
        <v>900000</v>
      </c>
      <c r="K10" s="7">
        <v>0</v>
      </c>
      <c r="L10" s="7">
        <v>900000</v>
      </c>
      <c r="M10" t="s">
        <v>42</v>
      </c>
      <c r="N10" t="s">
        <v>34</v>
      </c>
      <c r="O10">
        <v>3</v>
      </c>
      <c r="P10" t="s">
        <v>550</v>
      </c>
      <c r="Q10" t="s">
        <v>72</v>
      </c>
    </row>
    <row r="11" spans="1:18" x14ac:dyDescent="0.35">
      <c r="A11" t="s">
        <v>73</v>
      </c>
      <c r="B11" s="9">
        <v>45785</v>
      </c>
      <c r="C11" t="s">
        <v>37</v>
      </c>
      <c r="D11" t="s">
        <v>46</v>
      </c>
      <c r="E11" t="s">
        <v>90</v>
      </c>
      <c r="F11" t="s">
        <v>54</v>
      </c>
      <c r="G11" t="s">
        <v>23</v>
      </c>
      <c r="H11" s="12">
        <v>1</v>
      </c>
      <c r="I11" t="s">
        <v>24</v>
      </c>
      <c r="J11" s="7">
        <v>175000</v>
      </c>
      <c r="K11" s="7">
        <v>8750</v>
      </c>
      <c r="L11" s="7">
        <v>166250</v>
      </c>
      <c r="M11" t="s">
        <v>33</v>
      </c>
      <c r="N11" t="s">
        <v>34</v>
      </c>
      <c r="O11" t="s">
        <v>550</v>
      </c>
      <c r="P11" t="s">
        <v>550</v>
      </c>
      <c r="Q11" t="s">
        <v>43</v>
      </c>
      <c r="R11" t="s">
        <v>35</v>
      </c>
    </row>
    <row r="12" spans="1:18" x14ac:dyDescent="0.35">
      <c r="A12" t="s">
        <v>75</v>
      </c>
      <c r="B12" s="9">
        <v>45688</v>
      </c>
      <c r="C12" t="s">
        <v>37</v>
      </c>
      <c r="D12" t="s">
        <v>30</v>
      </c>
      <c r="E12" t="s">
        <v>38</v>
      </c>
      <c r="F12" t="s">
        <v>54</v>
      </c>
      <c r="G12" t="s">
        <v>40</v>
      </c>
      <c r="H12" s="12">
        <v>2</v>
      </c>
      <c r="I12" t="s">
        <v>32</v>
      </c>
      <c r="J12" s="7">
        <v>350000</v>
      </c>
      <c r="K12" s="7">
        <v>0</v>
      </c>
      <c r="L12" s="7">
        <v>350000</v>
      </c>
      <c r="M12" t="s">
        <v>78</v>
      </c>
      <c r="N12" t="s">
        <v>34</v>
      </c>
      <c r="O12">
        <v>4</v>
      </c>
      <c r="P12" t="s">
        <v>550</v>
      </c>
      <c r="Q12" t="s">
        <v>48</v>
      </c>
    </row>
    <row r="13" spans="1:18" x14ac:dyDescent="0.35">
      <c r="A13" t="s">
        <v>79</v>
      </c>
      <c r="B13" s="9">
        <v>45738</v>
      </c>
      <c r="C13" t="s">
        <v>58</v>
      </c>
      <c r="D13" t="s">
        <v>80</v>
      </c>
      <c r="E13" t="s">
        <v>38</v>
      </c>
      <c r="F13" t="s">
        <v>39</v>
      </c>
      <c r="G13" t="s">
        <v>47</v>
      </c>
      <c r="H13" s="12">
        <v>1</v>
      </c>
      <c r="I13" t="s">
        <v>55</v>
      </c>
      <c r="J13" s="7">
        <v>265000</v>
      </c>
      <c r="K13" s="7">
        <v>26500</v>
      </c>
      <c r="L13" s="7">
        <v>238500</v>
      </c>
      <c r="M13" t="s">
        <v>42</v>
      </c>
      <c r="N13" t="s">
        <v>34</v>
      </c>
      <c r="O13">
        <v>5</v>
      </c>
      <c r="P13" t="s">
        <v>550</v>
      </c>
      <c r="Q13" t="s">
        <v>27</v>
      </c>
    </row>
    <row r="14" spans="1:18" x14ac:dyDescent="0.35">
      <c r="A14" t="s">
        <v>81</v>
      </c>
      <c r="B14" s="9">
        <v>45892</v>
      </c>
      <c r="C14" t="s">
        <v>53</v>
      </c>
      <c r="D14" t="s">
        <v>20</v>
      </c>
      <c r="E14" t="s">
        <v>38</v>
      </c>
      <c r="F14" t="s">
        <v>54</v>
      </c>
      <c r="G14" t="s">
        <v>71</v>
      </c>
      <c r="H14" s="12">
        <v>2</v>
      </c>
      <c r="I14" t="s">
        <v>55</v>
      </c>
      <c r="J14" s="7">
        <v>320000</v>
      </c>
      <c r="K14" s="7">
        <v>32000</v>
      </c>
      <c r="L14" s="7">
        <v>288000</v>
      </c>
      <c r="M14" t="s">
        <v>25</v>
      </c>
      <c r="N14" t="s">
        <v>34</v>
      </c>
      <c r="O14">
        <v>4</v>
      </c>
      <c r="P14" t="s">
        <v>550</v>
      </c>
      <c r="Q14" t="s">
        <v>72</v>
      </c>
    </row>
    <row r="15" spans="1:18" x14ac:dyDescent="0.35">
      <c r="A15" t="s">
        <v>82</v>
      </c>
      <c r="B15" s="9">
        <v>45999</v>
      </c>
      <c r="C15" t="s">
        <v>45</v>
      </c>
      <c r="D15" t="s">
        <v>59</v>
      </c>
      <c r="E15" t="s">
        <v>21</v>
      </c>
      <c r="F15" t="s">
        <v>84</v>
      </c>
      <c r="G15" t="s">
        <v>23</v>
      </c>
      <c r="H15" s="12">
        <v>2</v>
      </c>
      <c r="I15" t="s">
        <v>55</v>
      </c>
      <c r="J15" s="7">
        <v>430000</v>
      </c>
      <c r="K15" s="7">
        <v>0</v>
      </c>
      <c r="L15" s="7">
        <v>430000</v>
      </c>
      <c r="M15" t="s">
        <v>25</v>
      </c>
      <c r="N15" t="s">
        <v>26</v>
      </c>
      <c r="O15">
        <v>4</v>
      </c>
      <c r="P15" t="s">
        <v>85</v>
      </c>
      <c r="Q15" t="s">
        <v>72</v>
      </c>
    </row>
    <row r="16" spans="1:18" x14ac:dyDescent="0.35">
      <c r="A16" t="s">
        <v>86</v>
      </c>
      <c r="B16" s="9">
        <v>45828</v>
      </c>
      <c r="C16" t="s">
        <v>37</v>
      </c>
      <c r="D16" t="s">
        <v>59</v>
      </c>
      <c r="E16" t="s">
        <v>103</v>
      </c>
      <c r="F16" t="s">
        <v>54</v>
      </c>
      <c r="G16" t="s">
        <v>71</v>
      </c>
      <c r="H16" s="12">
        <v>1</v>
      </c>
      <c r="I16" t="s">
        <v>55</v>
      </c>
      <c r="J16" s="7">
        <v>215000</v>
      </c>
      <c r="K16" s="7">
        <v>21500</v>
      </c>
      <c r="L16" s="7">
        <v>193500</v>
      </c>
      <c r="M16" t="s">
        <v>25</v>
      </c>
      <c r="N16" t="s">
        <v>34</v>
      </c>
      <c r="O16">
        <v>3</v>
      </c>
      <c r="P16" t="s">
        <v>550</v>
      </c>
      <c r="Q16" t="s">
        <v>60</v>
      </c>
      <c r="R16" t="s">
        <v>35</v>
      </c>
    </row>
    <row r="17" spans="1:18" x14ac:dyDescent="0.35">
      <c r="A17" t="s">
        <v>89</v>
      </c>
      <c r="B17" s="9">
        <v>45999</v>
      </c>
      <c r="C17" t="s">
        <v>58</v>
      </c>
      <c r="D17" t="s">
        <v>59</v>
      </c>
      <c r="E17" t="s">
        <v>90</v>
      </c>
      <c r="F17" t="s">
        <v>54</v>
      </c>
      <c r="G17" t="s">
        <v>71</v>
      </c>
      <c r="H17" s="12">
        <v>4</v>
      </c>
      <c r="I17" t="s">
        <v>55</v>
      </c>
      <c r="J17" s="7">
        <v>860000</v>
      </c>
      <c r="K17" s="7">
        <v>43000</v>
      </c>
      <c r="L17" s="7">
        <v>817000</v>
      </c>
      <c r="M17" t="s">
        <v>42</v>
      </c>
      <c r="N17" t="s">
        <v>34</v>
      </c>
      <c r="O17">
        <v>3</v>
      </c>
      <c r="P17" t="s">
        <v>550</v>
      </c>
      <c r="Q17" t="s">
        <v>43</v>
      </c>
    </row>
    <row r="18" spans="1:18" x14ac:dyDescent="0.35">
      <c r="A18" t="s">
        <v>91</v>
      </c>
      <c r="B18" s="9">
        <v>45771</v>
      </c>
      <c r="C18" t="s">
        <v>37</v>
      </c>
      <c r="D18" t="s">
        <v>30</v>
      </c>
      <c r="E18" t="s">
        <v>31</v>
      </c>
      <c r="F18" t="s">
        <v>549</v>
      </c>
      <c r="G18" t="s">
        <v>23</v>
      </c>
      <c r="H18" s="12">
        <v>1</v>
      </c>
      <c r="I18" t="s">
        <v>41</v>
      </c>
      <c r="J18" s="7">
        <v>160000</v>
      </c>
      <c r="K18" s="7">
        <v>0</v>
      </c>
      <c r="L18" s="7">
        <v>160000</v>
      </c>
      <c r="M18" t="s">
        <v>42</v>
      </c>
      <c r="N18" t="s">
        <v>34</v>
      </c>
      <c r="O18" t="s">
        <v>550</v>
      </c>
      <c r="P18" t="s">
        <v>550</v>
      </c>
      <c r="Q18" t="s">
        <v>72</v>
      </c>
    </row>
    <row r="19" spans="1:18" x14ac:dyDescent="0.35">
      <c r="A19" t="s">
        <v>93</v>
      </c>
      <c r="B19" s="9">
        <v>45713</v>
      </c>
      <c r="C19" t="s">
        <v>45</v>
      </c>
      <c r="D19" t="s">
        <v>30</v>
      </c>
      <c r="E19" t="s">
        <v>31</v>
      </c>
      <c r="F19" t="s">
        <v>549</v>
      </c>
      <c r="G19" t="s">
        <v>66</v>
      </c>
      <c r="H19" s="12">
        <v>2</v>
      </c>
      <c r="I19" t="s">
        <v>55</v>
      </c>
      <c r="J19" s="7">
        <v>400000</v>
      </c>
      <c r="K19" s="7">
        <v>0</v>
      </c>
      <c r="L19" s="7">
        <v>400000</v>
      </c>
      <c r="M19" t="s">
        <v>25</v>
      </c>
      <c r="N19" t="s">
        <v>34</v>
      </c>
      <c r="O19">
        <v>3</v>
      </c>
      <c r="P19" t="s">
        <v>550</v>
      </c>
      <c r="Q19" t="s">
        <v>48</v>
      </c>
      <c r="R19" t="s">
        <v>94</v>
      </c>
    </row>
    <row r="20" spans="1:18" x14ac:dyDescent="0.35">
      <c r="A20" t="s">
        <v>95</v>
      </c>
      <c r="B20" s="9">
        <v>45818</v>
      </c>
      <c r="C20" t="s">
        <v>58</v>
      </c>
      <c r="D20" t="s">
        <v>59</v>
      </c>
      <c r="E20" t="s">
        <v>90</v>
      </c>
      <c r="F20" t="s">
        <v>549</v>
      </c>
      <c r="G20" t="s">
        <v>66</v>
      </c>
      <c r="H20" s="12">
        <v>1</v>
      </c>
      <c r="I20" t="s">
        <v>55</v>
      </c>
      <c r="J20" s="7">
        <v>215000</v>
      </c>
      <c r="K20" s="7">
        <v>10750</v>
      </c>
      <c r="L20" s="7">
        <v>204250</v>
      </c>
      <c r="M20" t="s">
        <v>33</v>
      </c>
      <c r="N20" t="s">
        <v>56</v>
      </c>
      <c r="O20">
        <v>5</v>
      </c>
      <c r="P20" t="s">
        <v>550</v>
      </c>
      <c r="Q20" t="s">
        <v>43</v>
      </c>
      <c r="R20" t="s">
        <v>96</v>
      </c>
    </row>
    <row r="21" spans="1:18" x14ac:dyDescent="0.35">
      <c r="A21" t="s">
        <v>97</v>
      </c>
      <c r="B21" s="9">
        <v>45884</v>
      </c>
      <c r="C21" t="s">
        <v>69</v>
      </c>
      <c r="D21" t="s">
        <v>46</v>
      </c>
      <c r="E21" t="s">
        <v>90</v>
      </c>
      <c r="F21" t="s">
        <v>54</v>
      </c>
      <c r="G21" t="s">
        <v>23</v>
      </c>
      <c r="H21" s="12">
        <v>3</v>
      </c>
      <c r="I21" t="s">
        <v>41</v>
      </c>
      <c r="J21" s="7">
        <v>630000</v>
      </c>
      <c r="K21" s="7">
        <v>0</v>
      </c>
      <c r="L21" s="7">
        <v>630000</v>
      </c>
      <c r="M21" t="s">
        <v>33</v>
      </c>
      <c r="N21" t="s">
        <v>56</v>
      </c>
      <c r="O21" t="s">
        <v>550</v>
      </c>
      <c r="P21" t="s">
        <v>550</v>
      </c>
      <c r="Q21" t="s">
        <v>48</v>
      </c>
      <c r="R21" t="s">
        <v>35</v>
      </c>
    </row>
    <row r="22" spans="1:18" x14ac:dyDescent="0.35">
      <c r="A22" t="s">
        <v>98</v>
      </c>
      <c r="B22" s="9">
        <v>45757</v>
      </c>
      <c r="C22" t="s">
        <v>69</v>
      </c>
      <c r="D22" t="s">
        <v>30</v>
      </c>
      <c r="E22" t="s">
        <v>99</v>
      </c>
      <c r="F22" t="s">
        <v>39</v>
      </c>
      <c r="G22" t="s">
        <v>23</v>
      </c>
      <c r="H22" s="12">
        <v>4</v>
      </c>
      <c r="I22" t="s">
        <v>32</v>
      </c>
      <c r="J22" s="7">
        <v>700000</v>
      </c>
      <c r="K22" s="7">
        <v>0</v>
      </c>
      <c r="L22" s="7">
        <v>700000</v>
      </c>
      <c r="M22" t="s">
        <v>25</v>
      </c>
      <c r="N22" t="s">
        <v>34</v>
      </c>
      <c r="O22">
        <v>4</v>
      </c>
      <c r="P22" t="s">
        <v>550</v>
      </c>
      <c r="Q22" t="s">
        <v>43</v>
      </c>
      <c r="R22" t="s">
        <v>35</v>
      </c>
    </row>
    <row r="23" spans="1:18" x14ac:dyDescent="0.35">
      <c r="A23" t="s">
        <v>100</v>
      </c>
      <c r="B23" s="9">
        <v>45971</v>
      </c>
      <c r="C23" t="s">
        <v>45</v>
      </c>
      <c r="D23" t="s">
        <v>30</v>
      </c>
      <c r="E23" t="s">
        <v>90</v>
      </c>
      <c r="F23" t="s">
        <v>54</v>
      </c>
      <c r="G23" t="s">
        <v>23</v>
      </c>
      <c r="H23" s="12">
        <v>1</v>
      </c>
      <c r="I23" t="s">
        <v>55</v>
      </c>
      <c r="J23" s="7">
        <v>200000</v>
      </c>
      <c r="K23" s="7">
        <v>30000</v>
      </c>
      <c r="L23" s="7">
        <v>170000</v>
      </c>
      <c r="M23" t="s">
        <v>78</v>
      </c>
      <c r="N23" t="s">
        <v>34</v>
      </c>
      <c r="O23">
        <v>4</v>
      </c>
      <c r="P23" t="s">
        <v>550</v>
      </c>
      <c r="Q23" t="s">
        <v>43</v>
      </c>
      <c r="R23" t="s">
        <v>35</v>
      </c>
    </row>
    <row r="24" spans="1:18" x14ac:dyDescent="0.35">
      <c r="A24" t="s">
        <v>101</v>
      </c>
      <c r="B24" s="9">
        <v>46013</v>
      </c>
      <c r="C24" t="s">
        <v>37</v>
      </c>
      <c r="D24" t="s">
        <v>46</v>
      </c>
      <c r="E24" t="s">
        <v>38</v>
      </c>
      <c r="F24" t="s">
        <v>54</v>
      </c>
      <c r="G24" t="s">
        <v>66</v>
      </c>
      <c r="H24" s="12">
        <v>1</v>
      </c>
      <c r="I24" t="s">
        <v>55</v>
      </c>
      <c r="J24" s="7">
        <v>250000</v>
      </c>
      <c r="K24" s="7">
        <v>12500</v>
      </c>
      <c r="L24" s="7">
        <v>237500</v>
      </c>
      <c r="M24" t="s">
        <v>78</v>
      </c>
      <c r="N24" t="s">
        <v>34</v>
      </c>
      <c r="O24">
        <v>4</v>
      </c>
      <c r="P24" t="s">
        <v>550</v>
      </c>
      <c r="Q24" t="s">
        <v>43</v>
      </c>
      <c r="R24" t="s">
        <v>35</v>
      </c>
    </row>
    <row r="25" spans="1:18" x14ac:dyDescent="0.35">
      <c r="A25" t="s">
        <v>102</v>
      </c>
      <c r="B25" s="9">
        <v>45933</v>
      </c>
      <c r="C25" t="s">
        <v>45</v>
      </c>
      <c r="D25" t="s">
        <v>80</v>
      </c>
      <c r="E25" t="s">
        <v>103</v>
      </c>
      <c r="F25" t="s">
        <v>54</v>
      </c>
      <c r="G25" t="s">
        <v>23</v>
      </c>
      <c r="H25" s="12">
        <v>2</v>
      </c>
      <c r="I25" t="s">
        <v>41</v>
      </c>
      <c r="J25" s="7">
        <v>450000</v>
      </c>
      <c r="K25" s="7">
        <v>67500</v>
      </c>
      <c r="L25" s="7">
        <v>382500</v>
      </c>
      <c r="M25" t="s">
        <v>78</v>
      </c>
      <c r="N25" t="s">
        <v>34</v>
      </c>
      <c r="O25">
        <v>5</v>
      </c>
      <c r="P25" t="s">
        <v>550</v>
      </c>
      <c r="Q25" t="s">
        <v>60</v>
      </c>
      <c r="R25" t="s">
        <v>35</v>
      </c>
    </row>
    <row r="26" spans="1:18" x14ac:dyDescent="0.35">
      <c r="A26" t="s">
        <v>105</v>
      </c>
      <c r="B26" s="9">
        <v>45894</v>
      </c>
      <c r="C26" t="s">
        <v>37</v>
      </c>
      <c r="D26" t="s">
        <v>20</v>
      </c>
      <c r="E26" t="s">
        <v>31</v>
      </c>
      <c r="F26" t="s">
        <v>54</v>
      </c>
      <c r="G26" t="s">
        <v>40</v>
      </c>
      <c r="H26" s="12">
        <v>4</v>
      </c>
      <c r="I26" t="s">
        <v>32</v>
      </c>
      <c r="J26" s="7">
        <v>540000</v>
      </c>
      <c r="K26" s="7">
        <v>0</v>
      </c>
      <c r="L26" s="7">
        <v>540000</v>
      </c>
      <c r="M26" t="s">
        <v>33</v>
      </c>
      <c r="N26" t="s">
        <v>34</v>
      </c>
      <c r="O26" t="s">
        <v>550</v>
      </c>
      <c r="P26" t="s">
        <v>550</v>
      </c>
      <c r="Q26" t="s">
        <v>72</v>
      </c>
      <c r="R26" t="s">
        <v>35</v>
      </c>
    </row>
    <row r="27" spans="1:18" x14ac:dyDescent="0.35">
      <c r="A27" t="s">
        <v>108</v>
      </c>
      <c r="B27" s="9">
        <v>45784</v>
      </c>
      <c r="C27" t="s">
        <v>37</v>
      </c>
      <c r="D27" t="s">
        <v>20</v>
      </c>
      <c r="E27" t="s">
        <v>90</v>
      </c>
      <c r="F27" t="s">
        <v>39</v>
      </c>
      <c r="G27" t="s">
        <v>23</v>
      </c>
      <c r="H27" s="12">
        <v>1</v>
      </c>
      <c r="I27" t="s">
        <v>32</v>
      </c>
      <c r="J27" s="7">
        <v>135000</v>
      </c>
      <c r="K27" s="7">
        <v>20250</v>
      </c>
      <c r="L27" s="7">
        <v>114750</v>
      </c>
      <c r="M27" t="s">
        <v>25</v>
      </c>
      <c r="N27" t="s">
        <v>56</v>
      </c>
      <c r="O27">
        <v>4</v>
      </c>
      <c r="P27" t="s">
        <v>550</v>
      </c>
      <c r="Q27" t="s">
        <v>43</v>
      </c>
      <c r="R27" t="s">
        <v>35</v>
      </c>
    </row>
    <row r="28" spans="1:18" x14ac:dyDescent="0.35">
      <c r="A28" t="s">
        <v>109</v>
      </c>
      <c r="B28" s="9">
        <v>45861</v>
      </c>
      <c r="C28" t="s">
        <v>37</v>
      </c>
      <c r="D28" t="s">
        <v>20</v>
      </c>
      <c r="E28" t="s">
        <v>90</v>
      </c>
      <c r="F28" t="s">
        <v>39</v>
      </c>
      <c r="G28" t="s">
        <v>47</v>
      </c>
      <c r="H28" s="12">
        <v>2</v>
      </c>
      <c r="I28" t="s">
        <v>24</v>
      </c>
      <c r="J28" s="7">
        <v>170000</v>
      </c>
      <c r="K28" s="7">
        <v>17000</v>
      </c>
      <c r="L28" s="7">
        <v>153000</v>
      </c>
      <c r="M28" t="s">
        <v>33</v>
      </c>
      <c r="N28" t="s">
        <v>26</v>
      </c>
      <c r="O28" t="s">
        <v>550</v>
      </c>
      <c r="P28" t="s">
        <v>551</v>
      </c>
      <c r="Q28" t="s">
        <v>43</v>
      </c>
    </row>
    <row r="29" spans="1:18" x14ac:dyDescent="0.35">
      <c r="A29" t="s">
        <v>110</v>
      </c>
      <c r="B29" s="9">
        <v>46020</v>
      </c>
      <c r="C29" t="s">
        <v>37</v>
      </c>
      <c r="D29" t="s">
        <v>30</v>
      </c>
      <c r="E29" t="s">
        <v>103</v>
      </c>
      <c r="F29" t="s">
        <v>112</v>
      </c>
      <c r="G29" t="s">
        <v>40</v>
      </c>
      <c r="H29" s="12">
        <v>2</v>
      </c>
      <c r="I29" t="s">
        <v>41</v>
      </c>
      <c r="J29" s="7">
        <v>320000</v>
      </c>
      <c r="K29" s="7">
        <v>0</v>
      </c>
      <c r="L29" s="7">
        <v>320000</v>
      </c>
      <c r="M29" t="s">
        <v>78</v>
      </c>
      <c r="N29" t="s">
        <v>34</v>
      </c>
      <c r="O29" t="s">
        <v>550</v>
      </c>
      <c r="P29" t="s">
        <v>550</v>
      </c>
      <c r="Q29" t="s">
        <v>60</v>
      </c>
    </row>
    <row r="30" spans="1:18" x14ac:dyDescent="0.35">
      <c r="A30" t="s">
        <v>113</v>
      </c>
      <c r="B30" s="9">
        <v>45839</v>
      </c>
      <c r="C30" t="s">
        <v>53</v>
      </c>
      <c r="D30" t="s">
        <v>59</v>
      </c>
      <c r="E30" t="s">
        <v>31</v>
      </c>
      <c r="F30" t="s">
        <v>112</v>
      </c>
      <c r="G30" t="s">
        <v>40</v>
      </c>
      <c r="H30" s="12">
        <v>1</v>
      </c>
      <c r="I30" t="s">
        <v>32</v>
      </c>
      <c r="J30" s="7">
        <v>190000</v>
      </c>
      <c r="K30" s="7">
        <v>9500</v>
      </c>
      <c r="L30" s="7">
        <v>180500</v>
      </c>
      <c r="M30" t="s">
        <v>42</v>
      </c>
      <c r="N30" t="s">
        <v>34</v>
      </c>
      <c r="O30">
        <v>5</v>
      </c>
      <c r="P30" t="s">
        <v>550</v>
      </c>
      <c r="Q30" t="s">
        <v>48</v>
      </c>
      <c r="R30" t="s">
        <v>35</v>
      </c>
    </row>
    <row r="31" spans="1:18" x14ac:dyDescent="0.35">
      <c r="A31" t="s">
        <v>114</v>
      </c>
      <c r="B31" s="9">
        <v>45929</v>
      </c>
      <c r="C31" t="s">
        <v>53</v>
      </c>
      <c r="D31" t="s">
        <v>30</v>
      </c>
      <c r="E31" t="s">
        <v>21</v>
      </c>
      <c r="F31" t="s">
        <v>112</v>
      </c>
      <c r="G31" t="s">
        <v>40</v>
      </c>
      <c r="H31" s="12">
        <v>1</v>
      </c>
      <c r="I31" t="s">
        <v>41</v>
      </c>
      <c r="J31" s="7">
        <v>160000</v>
      </c>
      <c r="K31" s="7">
        <v>0</v>
      </c>
      <c r="L31" s="7">
        <v>160000</v>
      </c>
      <c r="M31" t="s">
        <v>78</v>
      </c>
      <c r="N31" t="s">
        <v>34</v>
      </c>
      <c r="O31">
        <v>3</v>
      </c>
      <c r="P31" t="s">
        <v>550</v>
      </c>
      <c r="Q31" t="s">
        <v>27</v>
      </c>
      <c r="R31" t="s">
        <v>94</v>
      </c>
    </row>
    <row r="32" spans="1:18" x14ac:dyDescent="0.35">
      <c r="A32" t="s">
        <v>115</v>
      </c>
      <c r="B32" s="9">
        <v>45709</v>
      </c>
      <c r="C32" t="s">
        <v>37</v>
      </c>
      <c r="D32" t="s">
        <v>59</v>
      </c>
      <c r="E32" t="s">
        <v>103</v>
      </c>
      <c r="F32" t="s">
        <v>549</v>
      </c>
      <c r="G32" t="s">
        <v>23</v>
      </c>
      <c r="H32" s="12">
        <v>1</v>
      </c>
      <c r="I32" t="s">
        <v>24</v>
      </c>
      <c r="J32" s="7">
        <v>140000</v>
      </c>
      <c r="K32" s="7">
        <v>14000</v>
      </c>
      <c r="L32" s="7">
        <v>126000</v>
      </c>
      <c r="M32" t="s">
        <v>42</v>
      </c>
      <c r="N32" t="s">
        <v>34</v>
      </c>
      <c r="O32">
        <v>4</v>
      </c>
      <c r="P32" t="s">
        <v>550</v>
      </c>
      <c r="Q32" t="s">
        <v>43</v>
      </c>
      <c r="R32" t="s">
        <v>94</v>
      </c>
    </row>
    <row r="33" spans="1:18" x14ac:dyDescent="0.35">
      <c r="A33" t="s">
        <v>117</v>
      </c>
      <c r="B33" s="9">
        <v>45716</v>
      </c>
      <c r="C33" t="s">
        <v>58</v>
      </c>
      <c r="D33" t="s">
        <v>30</v>
      </c>
      <c r="E33" t="s">
        <v>99</v>
      </c>
      <c r="F33" t="s">
        <v>84</v>
      </c>
      <c r="G33" t="s">
        <v>71</v>
      </c>
      <c r="H33" s="12">
        <v>1</v>
      </c>
      <c r="I33" t="s">
        <v>41</v>
      </c>
      <c r="J33" s="7">
        <v>160000</v>
      </c>
      <c r="K33" s="7">
        <v>0</v>
      </c>
      <c r="L33" s="7">
        <v>160000</v>
      </c>
      <c r="M33" t="s">
        <v>25</v>
      </c>
      <c r="N33" t="s">
        <v>34</v>
      </c>
      <c r="O33">
        <v>4</v>
      </c>
      <c r="P33" t="s">
        <v>550</v>
      </c>
      <c r="Q33" t="s">
        <v>48</v>
      </c>
    </row>
    <row r="34" spans="1:18" x14ac:dyDescent="0.35">
      <c r="A34" t="s">
        <v>118</v>
      </c>
      <c r="B34" s="9">
        <v>45975</v>
      </c>
      <c r="C34" t="s">
        <v>58</v>
      </c>
      <c r="D34" t="s">
        <v>80</v>
      </c>
      <c r="E34" t="s">
        <v>21</v>
      </c>
      <c r="F34" t="s">
        <v>84</v>
      </c>
      <c r="G34" t="s">
        <v>23</v>
      </c>
      <c r="H34" s="12">
        <v>1</v>
      </c>
      <c r="I34" t="s">
        <v>55</v>
      </c>
      <c r="J34" s="7">
        <v>265000</v>
      </c>
      <c r="K34" s="7">
        <v>0</v>
      </c>
      <c r="L34" s="7">
        <v>265000</v>
      </c>
      <c r="M34" t="s">
        <v>33</v>
      </c>
      <c r="N34" t="s">
        <v>26</v>
      </c>
      <c r="O34">
        <v>4</v>
      </c>
      <c r="P34" t="s">
        <v>85</v>
      </c>
      <c r="Q34" t="s">
        <v>27</v>
      </c>
    </row>
    <row r="35" spans="1:18" x14ac:dyDescent="0.35">
      <c r="A35" t="s">
        <v>120</v>
      </c>
      <c r="B35" s="9">
        <v>45978</v>
      </c>
      <c r="C35" t="s">
        <v>45</v>
      </c>
      <c r="D35" t="s">
        <v>46</v>
      </c>
      <c r="E35" t="s">
        <v>99</v>
      </c>
      <c r="F35" t="s">
        <v>84</v>
      </c>
      <c r="G35" t="s">
        <v>71</v>
      </c>
      <c r="H35" s="12">
        <v>4</v>
      </c>
      <c r="I35" t="s">
        <v>55</v>
      </c>
      <c r="J35" s="7">
        <v>1000000</v>
      </c>
      <c r="K35" s="7">
        <v>0</v>
      </c>
      <c r="L35" s="7">
        <v>1000000</v>
      </c>
      <c r="M35" t="s">
        <v>42</v>
      </c>
      <c r="N35" t="s">
        <v>34</v>
      </c>
      <c r="O35">
        <v>3</v>
      </c>
      <c r="P35" t="s">
        <v>550</v>
      </c>
      <c r="Q35" t="s">
        <v>43</v>
      </c>
    </row>
    <row r="36" spans="1:18" x14ac:dyDescent="0.35">
      <c r="A36" t="s">
        <v>121</v>
      </c>
      <c r="B36" s="9">
        <v>45699</v>
      </c>
      <c r="C36" t="s">
        <v>45</v>
      </c>
      <c r="D36" t="s">
        <v>20</v>
      </c>
      <c r="E36" t="s">
        <v>99</v>
      </c>
      <c r="F36" t="s">
        <v>549</v>
      </c>
      <c r="G36" t="s">
        <v>71</v>
      </c>
      <c r="H36" s="12">
        <v>3</v>
      </c>
      <c r="I36" t="s">
        <v>24</v>
      </c>
      <c r="J36" s="7">
        <v>255000</v>
      </c>
      <c r="K36" s="7">
        <v>38250</v>
      </c>
      <c r="L36" s="7">
        <v>216750</v>
      </c>
      <c r="M36" t="s">
        <v>25</v>
      </c>
      <c r="N36" t="s">
        <v>34</v>
      </c>
      <c r="O36" t="s">
        <v>550</v>
      </c>
      <c r="P36" t="s">
        <v>550</v>
      </c>
      <c r="Q36" t="s">
        <v>43</v>
      </c>
    </row>
    <row r="37" spans="1:18" x14ac:dyDescent="0.35">
      <c r="A37" t="s">
        <v>122</v>
      </c>
      <c r="B37" s="9">
        <v>45836</v>
      </c>
      <c r="C37" t="s">
        <v>69</v>
      </c>
      <c r="D37" t="s">
        <v>59</v>
      </c>
      <c r="E37" t="s">
        <v>31</v>
      </c>
      <c r="F37" t="s">
        <v>84</v>
      </c>
      <c r="G37" t="s">
        <v>23</v>
      </c>
      <c r="H37" s="12">
        <v>3</v>
      </c>
      <c r="I37" t="s">
        <v>32</v>
      </c>
      <c r="J37" s="7">
        <v>570000</v>
      </c>
      <c r="K37" s="7">
        <v>57000</v>
      </c>
      <c r="L37" s="7">
        <v>513000</v>
      </c>
      <c r="M37" t="s">
        <v>78</v>
      </c>
      <c r="N37" t="s">
        <v>34</v>
      </c>
      <c r="O37">
        <v>3</v>
      </c>
      <c r="P37" t="s">
        <v>550</v>
      </c>
      <c r="Q37" t="s">
        <v>43</v>
      </c>
      <c r="R37" t="s">
        <v>96</v>
      </c>
    </row>
    <row r="38" spans="1:18" x14ac:dyDescent="0.35">
      <c r="A38" t="s">
        <v>125</v>
      </c>
      <c r="B38" s="9">
        <v>45869</v>
      </c>
      <c r="C38" t="s">
        <v>58</v>
      </c>
      <c r="D38" t="s">
        <v>46</v>
      </c>
      <c r="E38" t="s">
        <v>90</v>
      </c>
      <c r="F38" t="s">
        <v>549</v>
      </c>
      <c r="G38" t="s">
        <v>71</v>
      </c>
      <c r="H38" s="12">
        <v>1</v>
      </c>
      <c r="I38" t="s">
        <v>41</v>
      </c>
      <c r="J38" s="7">
        <v>210000</v>
      </c>
      <c r="K38" s="7">
        <v>21000</v>
      </c>
      <c r="L38" s="7">
        <v>189000</v>
      </c>
      <c r="M38" t="s">
        <v>78</v>
      </c>
      <c r="N38" t="s">
        <v>34</v>
      </c>
      <c r="O38">
        <v>4</v>
      </c>
      <c r="P38" t="s">
        <v>550</v>
      </c>
      <c r="Q38" t="s">
        <v>72</v>
      </c>
    </row>
    <row r="39" spans="1:18" x14ac:dyDescent="0.35">
      <c r="A39" t="s">
        <v>127</v>
      </c>
      <c r="B39" s="9">
        <v>45773</v>
      </c>
      <c r="C39" t="s">
        <v>58</v>
      </c>
      <c r="D39" t="s">
        <v>30</v>
      </c>
      <c r="E39" t="s">
        <v>38</v>
      </c>
      <c r="F39" t="s">
        <v>39</v>
      </c>
      <c r="G39" t="s">
        <v>66</v>
      </c>
      <c r="H39" s="12">
        <v>3</v>
      </c>
      <c r="I39" t="s">
        <v>41</v>
      </c>
      <c r="J39" s="7">
        <v>480000</v>
      </c>
      <c r="K39" s="7">
        <v>24000</v>
      </c>
      <c r="L39" s="7">
        <v>456000</v>
      </c>
      <c r="M39" t="s">
        <v>33</v>
      </c>
      <c r="N39" t="s">
        <v>56</v>
      </c>
      <c r="O39" t="s">
        <v>550</v>
      </c>
      <c r="P39" t="s">
        <v>550</v>
      </c>
      <c r="Q39" t="s">
        <v>43</v>
      </c>
      <c r="R39" t="s">
        <v>96</v>
      </c>
    </row>
    <row r="40" spans="1:18" x14ac:dyDescent="0.35">
      <c r="A40" t="s">
        <v>128</v>
      </c>
      <c r="B40" s="9">
        <v>45832</v>
      </c>
      <c r="C40" t="s">
        <v>45</v>
      </c>
      <c r="D40" t="s">
        <v>59</v>
      </c>
      <c r="E40" t="s">
        <v>38</v>
      </c>
      <c r="F40" t="s">
        <v>549</v>
      </c>
      <c r="G40" t="s">
        <v>40</v>
      </c>
      <c r="H40" s="12">
        <v>2</v>
      </c>
      <c r="I40" t="s">
        <v>32</v>
      </c>
      <c r="J40" s="7">
        <v>380000</v>
      </c>
      <c r="K40" s="7">
        <v>0</v>
      </c>
      <c r="L40" s="7">
        <v>380000</v>
      </c>
      <c r="M40" t="s">
        <v>78</v>
      </c>
      <c r="N40" t="s">
        <v>34</v>
      </c>
      <c r="O40">
        <v>4</v>
      </c>
      <c r="P40" t="s">
        <v>550</v>
      </c>
      <c r="Q40" t="s">
        <v>43</v>
      </c>
      <c r="R40" t="s">
        <v>49</v>
      </c>
    </row>
    <row r="41" spans="1:18" x14ac:dyDescent="0.35">
      <c r="A41" t="s">
        <v>129</v>
      </c>
      <c r="B41" s="9">
        <v>46019</v>
      </c>
      <c r="C41" t="s">
        <v>69</v>
      </c>
      <c r="D41" t="s">
        <v>30</v>
      </c>
      <c r="E41" t="s">
        <v>21</v>
      </c>
      <c r="F41" t="s">
        <v>39</v>
      </c>
      <c r="G41" t="s">
        <v>66</v>
      </c>
      <c r="H41" s="12">
        <v>2</v>
      </c>
      <c r="I41" t="s">
        <v>41</v>
      </c>
      <c r="J41" s="7">
        <v>320000</v>
      </c>
      <c r="K41" s="7">
        <v>0</v>
      </c>
      <c r="L41" s="7">
        <v>320000</v>
      </c>
      <c r="M41" t="s">
        <v>42</v>
      </c>
      <c r="N41" t="s">
        <v>56</v>
      </c>
      <c r="O41" t="s">
        <v>550</v>
      </c>
      <c r="P41" t="s">
        <v>550</v>
      </c>
      <c r="Q41" t="s">
        <v>27</v>
      </c>
      <c r="R41" t="s">
        <v>35</v>
      </c>
    </row>
    <row r="42" spans="1:18" x14ac:dyDescent="0.35">
      <c r="A42" t="s">
        <v>131</v>
      </c>
      <c r="B42" s="9">
        <v>45977</v>
      </c>
      <c r="C42" t="s">
        <v>69</v>
      </c>
      <c r="D42" t="s">
        <v>20</v>
      </c>
      <c r="E42" t="s">
        <v>31</v>
      </c>
      <c r="F42" t="s">
        <v>112</v>
      </c>
      <c r="G42" t="s">
        <v>66</v>
      </c>
      <c r="H42" s="12">
        <v>1</v>
      </c>
      <c r="I42" t="s">
        <v>24</v>
      </c>
      <c r="J42" s="7">
        <v>85000</v>
      </c>
      <c r="K42" s="7">
        <v>0</v>
      </c>
      <c r="L42" s="7">
        <v>85000</v>
      </c>
      <c r="M42" t="s">
        <v>78</v>
      </c>
      <c r="N42" t="s">
        <v>56</v>
      </c>
      <c r="O42">
        <v>5</v>
      </c>
      <c r="P42" t="s">
        <v>550</v>
      </c>
      <c r="Q42" t="s">
        <v>72</v>
      </c>
      <c r="R42" t="s">
        <v>94</v>
      </c>
    </row>
    <row r="43" spans="1:18" x14ac:dyDescent="0.35">
      <c r="A43" t="s">
        <v>132</v>
      </c>
      <c r="B43" s="9">
        <v>45824</v>
      </c>
      <c r="C43" t="s">
        <v>58</v>
      </c>
      <c r="D43" t="s">
        <v>59</v>
      </c>
      <c r="E43" t="s">
        <v>31</v>
      </c>
      <c r="F43" t="s">
        <v>549</v>
      </c>
      <c r="G43" t="s">
        <v>66</v>
      </c>
      <c r="H43" s="12">
        <v>3</v>
      </c>
      <c r="I43" t="s">
        <v>55</v>
      </c>
      <c r="J43" s="7">
        <v>645000</v>
      </c>
      <c r="K43" s="7">
        <v>0</v>
      </c>
      <c r="L43" s="7">
        <v>645000</v>
      </c>
      <c r="M43" t="s">
        <v>78</v>
      </c>
      <c r="N43" t="s">
        <v>56</v>
      </c>
      <c r="O43">
        <v>4</v>
      </c>
      <c r="P43" t="s">
        <v>550</v>
      </c>
      <c r="Q43" t="s">
        <v>43</v>
      </c>
    </row>
    <row r="44" spans="1:18" x14ac:dyDescent="0.35">
      <c r="A44" t="s">
        <v>133</v>
      </c>
      <c r="B44" s="9">
        <v>45805</v>
      </c>
      <c r="C44" t="s">
        <v>45</v>
      </c>
      <c r="D44" t="s">
        <v>46</v>
      </c>
      <c r="E44" t="s">
        <v>38</v>
      </c>
      <c r="F44" t="s">
        <v>54</v>
      </c>
      <c r="G44" t="s">
        <v>40</v>
      </c>
      <c r="H44" s="12">
        <v>2</v>
      </c>
      <c r="I44" t="s">
        <v>41</v>
      </c>
      <c r="J44" s="7">
        <v>420000</v>
      </c>
      <c r="K44" s="7">
        <v>21000</v>
      </c>
      <c r="L44" s="7">
        <v>399000</v>
      </c>
      <c r="M44" t="s">
        <v>33</v>
      </c>
      <c r="N44" t="s">
        <v>26</v>
      </c>
      <c r="O44" t="s">
        <v>550</v>
      </c>
      <c r="P44" t="s">
        <v>551</v>
      </c>
      <c r="Q44" t="s">
        <v>72</v>
      </c>
    </row>
    <row r="45" spans="1:18" x14ac:dyDescent="0.35">
      <c r="A45" t="s">
        <v>135</v>
      </c>
      <c r="B45" s="9">
        <v>45947</v>
      </c>
      <c r="C45" t="s">
        <v>58</v>
      </c>
      <c r="D45" t="s">
        <v>80</v>
      </c>
      <c r="E45" t="s">
        <v>21</v>
      </c>
      <c r="F45" t="s">
        <v>54</v>
      </c>
      <c r="G45" t="s">
        <v>40</v>
      </c>
      <c r="H45" s="12">
        <v>4</v>
      </c>
      <c r="I45" t="s">
        <v>41</v>
      </c>
      <c r="J45" s="7">
        <v>900000</v>
      </c>
      <c r="K45" s="7">
        <v>0</v>
      </c>
      <c r="L45" s="7">
        <v>900000</v>
      </c>
      <c r="M45" t="s">
        <v>42</v>
      </c>
      <c r="N45" t="s">
        <v>56</v>
      </c>
      <c r="O45">
        <v>5</v>
      </c>
      <c r="P45" t="s">
        <v>550</v>
      </c>
      <c r="Q45" t="s">
        <v>48</v>
      </c>
    </row>
    <row r="46" spans="1:18" x14ac:dyDescent="0.35">
      <c r="A46" t="s">
        <v>136</v>
      </c>
      <c r="B46" s="9">
        <v>45844</v>
      </c>
      <c r="C46" t="s">
        <v>37</v>
      </c>
      <c r="D46" t="s">
        <v>20</v>
      </c>
      <c r="E46" t="s">
        <v>31</v>
      </c>
      <c r="F46" t="s">
        <v>549</v>
      </c>
      <c r="G46" t="s">
        <v>66</v>
      </c>
      <c r="H46" s="12">
        <v>1</v>
      </c>
      <c r="I46" t="s">
        <v>41</v>
      </c>
      <c r="J46" s="7">
        <v>120000</v>
      </c>
      <c r="K46" s="7">
        <v>0</v>
      </c>
      <c r="L46" s="7">
        <v>120000</v>
      </c>
      <c r="M46" t="s">
        <v>42</v>
      </c>
      <c r="N46" t="s">
        <v>56</v>
      </c>
      <c r="O46">
        <v>4</v>
      </c>
      <c r="P46" t="s">
        <v>550</v>
      </c>
      <c r="Q46" t="s">
        <v>43</v>
      </c>
      <c r="R46" t="s">
        <v>35</v>
      </c>
    </row>
    <row r="47" spans="1:18" x14ac:dyDescent="0.35">
      <c r="A47" t="s">
        <v>138</v>
      </c>
      <c r="B47" s="9">
        <v>45943</v>
      </c>
      <c r="C47" t="s">
        <v>53</v>
      </c>
      <c r="D47" t="s">
        <v>20</v>
      </c>
      <c r="E47" t="s">
        <v>99</v>
      </c>
      <c r="F47" t="s">
        <v>84</v>
      </c>
      <c r="G47" t="s">
        <v>40</v>
      </c>
      <c r="H47" s="12">
        <v>3</v>
      </c>
      <c r="I47" t="s">
        <v>41</v>
      </c>
      <c r="J47" s="7">
        <v>360000</v>
      </c>
      <c r="K47" s="7">
        <v>36000</v>
      </c>
      <c r="L47" s="7">
        <v>324000</v>
      </c>
      <c r="M47" t="s">
        <v>78</v>
      </c>
      <c r="N47" t="s">
        <v>34</v>
      </c>
      <c r="O47">
        <v>4</v>
      </c>
      <c r="P47" t="s">
        <v>550</v>
      </c>
      <c r="Q47" t="s">
        <v>43</v>
      </c>
      <c r="R47" t="s">
        <v>35</v>
      </c>
    </row>
    <row r="48" spans="1:18" x14ac:dyDescent="0.35">
      <c r="A48" t="s">
        <v>139</v>
      </c>
      <c r="B48" s="9">
        <v>46016</v>
      </c>
      <c r="C48" t="s">
        <v>53</v>
      </c>
      <c r="D48" t="s">
        <v>30</v>
      </c>
      <c r="E48" t="s">
        <v>38</v>
      </c>
      <c r="F48" t="s">
        <v>39</v>
      </c>
      <c r="G48" t="s">
        <v>47</v>
      </c>
      <c r="H48" s="12">
        <v>1</v>
      </c>
      <c r="I48" t="s">
        <v>24</v>
      </c>
      <c r="J48" s="7">
        <v>125000</v>
      </c>
      <c r="K48" s="7">
        <v>0</v>
      </c>
      <c r="L48" s="7">
        <v>125000</v>
      </c>
      <c r="M48" t="s">
        <v>33</v>
      </c>
      <c r="N48" t="s">
        <v>34</v>
      </c>
      <c r="O48">
        <v>5</v>
      </c>
      <c r="P48" t="s">
        <v>550</v>
      </c>
      <c r="Q48" t="s">
        <v>48</v>
      </c>
    </row>
    <row r="49" spans="1:18" x14ac:dyDescent="0.35">
      <c r="A49" t="s">
        <v>140</v>
      </c>
      <c r="B49" s="9">
        <v>45866</v>
      </c>
      <c r="C49" t="s">
        <v>53</v>
      </c>
      <c r="D49" t="s">
        <v>20</v>
      </c>
      <c r="E49" t="s">
        <v>21</v>
      </c>
      <c r="F49" t="s">
        <v>549</v>
      </c>
      <c r="G49" t="s">
        <v>23</v>
      </c>
      <c r="H49" s="12">
        <v>1</v>
      </c>
      <c r="I49" t="s">
        <v>41</v>
      </c>
      <c r="J49" s="7">
        <v>120000</v>
      </c>
      <c r="K49" s="7">
        <v>12000</v>
      </c>
      <c r="L49" s="7">
        <v>108000</v>
      </c>
      <c r="M49" t="s">
        <v>42</v>
      </c>
      <c r="N49" t="s">
        <v>34</v>
      </c>
      <c r="O49">
        <v>5</v>
      </c>
      <c r="P49" t="s">
        <v>550</v>
      </c>
      <c r="Q49" t="s">
        <v>72</v>
      </c>
    </row>
    <row r="50" spans="1:18" x14ac:dyDescent="0.35">
      <c r="A50" t="s">
        <v>143</v>
      </c>
      <c r="B50" s="9">
        <v>45683</v>
      </c>
      <c r="C50" t="s">
        <v>53</v>
      </c>
      <c r="D50" t="s">
        <v>46</v>
      </c>
      <c r="E50" t="s">
        <v>103</v>
      </c>
      <c r="F50" t="s">
        <v>112</v>
      </c>
      <c r="G50" t="s">
        <v>23</v>
      </c>
      <c r="H50" s="12">
        <v>1</v>
      </c>
      <c r="I50" t="s">
        <v>55</v>
      </c>
      <c r="J50" s="7">
        <v>250000</v>
      </c>
      <c r="K50" s="7">
        <v>0</v>
      </c>
      <c r="L50" s="7">
        <v>250000</v>
      </c>
      <c r="M50" t="s">
        <v>42</v>
      </c>
      <c r="N50" t="s">
        <v>56</v>
      </c>
      <c r="O50" t="s">
        <v>550</v>
      </c>
      <c r="P50" t="s">
        <v>550</v>
      </c>
      <c r="Q50" t="s">
        <v>27</v>
      </c>
    </row>
    <row r="51" spans="1:18" x14ac:dyDescent="0.35">
      <c r="A51" t="s">
        <v>144</v>
      </c>
      <c r="B51" s="9">
        <v>45779</v>
      </c>
      <c r="C51" t="s">
        <v>45</v>
      </c>
      <c r="D51" t="s">
        <v>59</v>
      </c>
      <c r="E51" t="s">
        <v>38</v>
      </c>
      <c r="F51" t="s">
        <v>39</v>
      </c>
      <c r="G51" t="s">
        <v>40</v>
      </c>
      <c r="H51" s="12">
        <v>1</v>
      </c>
      <c r="I51" t="s">
        <v>24</v>
      </c>
      <c r="J51" s="7">
        <v>140000</v>
      </c>
      <c r="K51" s="7">
        <v>7000</v>
      </c>
      <c r="L51" s="7">
        <v>133000</v>
      </c>
      <c r="M51" t="s">
        <v>78</v>
      </c>
      <c r="N51" t="s">
        <v>56</v>
      </c>
      <c r="O51">
        <v>4</v>
      </c>
      <c r="P51" t="s">
        <v>550</v>
      </c>
      <c r="Q51" t="s">
        <v>72</v>
      </c>
      <c r="R51" t="s">
        <v>35</v>
      </c>
    </row>
    <row r="52" spans="1:18" x14ac:dyDescent="0.35">
      <c r="A52" t="s">
        <v>145</v>
      </c>
      <c r="B52" s="9">
        <v>45689</v>
      </c>
      <c r="C52" t="s">
        <v>69</v>
      </c>
      <c r="D52" t="s">
        <v>30</v>
      </c>
      <c r="E52" t="s">
        <v>99</v>
      </c>
      <c r="F52" t="s">
        <v>84</v>
      </c>
      <c r="G52" t="s">
        <v>66</v>
      </c>
      <c r="H52" s="12">
        <v>1</v>
      </c>
      <c r="I52" t="s">
        <v>41</v>
      </c>
      <c r="J52" s="7">
        <v>160000</v>
      </c>
      <c r="K52" s="7">
        <v>16000</v>
      </c>
      <c r="L52" s="7">
        <v>144000</v>
      </c>
      <c r="M52" t="s">
        <v>78</v>
      </c>
      <c r="N52" t="s">
        <v>34</v>
      </c>
      <c r="O52">
        <v>4</v>
      </c>
      <c r="P52" t="s">
        <v>550</v>
      </c>
      <c r="Q52" t="s">
        <v>72</v>
      </c>
    </row>
    <row r="53" spans="1:18" x14ac:dyDescent="0.35">
      <c r="A53" t="s">
        <v>146</v>
      </c>
      <c r="B53" s="9">
        <v>45993</v>
      </c>
      <c r="C53" t="s">
        <v>45</v>
      </c>
      <c r="D53" t="s">
        <v>46</v>
      </c>
      <c r="E53" t="s">
        <v>99</v>
      </c>
      <c r="F53" t="s">
        <v>54</v>
      </c>
      <c r="G53" t="s">
        <v>23</v>
      </c>
      <c r="H53" s="12">
        <v>2</v>
      </c>
      <c r="I53" t="s">
        <v>24</v>
      </c>
      <c r="J53" s="7">
        <v>350000</v>
      </c>
      <c r="K53" s="7">
        <v>0</v>
      </c>
      <c r="L53" s="7">
        <v>350000</v>
      </c>
      <c r="M53" t="s">
        <v>78</v>
      </c>
      <c r="N53" t="s">
        <v>34</v>
      </c>
      <c r="O53">
        <v>4</v>
      </c>
      <c r="P53" t="s">
        <v>550</v>
      </c>
      <c r="Q53" t="s">
        <v>60</v>
      </c>
    </row>
    <row r="54" spans="1:18" x14ac:dyDescent="0.35">
      <c r="A54" t="s">
        <v>148</v>
      </c>
      <c r="B54" s="9">
        <v>45942</v>
      </c>
      <c r="C54" t="s">
        <v>58</v>
      </c>
      <c r="D54" t="s">
        <v>80</v>
      </c>
      <c r="E54" t="s">
        <v>90</v>
      </c>
      <c r="F54" t="s">
        <v>112</v>
      </c>
      <c r="G54" t="s">
        <v>40</v>
      </c>
      <c r="H54" s="12">
        <v>4</v>
      </c>
      <c r="I54" t="s">
        <v>32</v>
      </c>
      <c r="J54" s="7">
        <v>960000</v>
      </c>
      <c r="K54" s="7">
        <v>144000</v>
      </c>
      <c r="L54" s="7">
        <v>816000</v>
      </c>
      <c r="M54" t="s">
        <v>78</v>
      </c>
      <c r="N54" t="s">
        <v>34</v>
      </c>
      <c r="O54">
        <v>3</v>
      </c>
      <c r="P54" t="s">
        <v>550</v>
      </c>
      <c r="Q54" t="s">
        <v>27</v>
      </c>
    </row>
    <row r="55" spans="1:18" x14ac:dyDescent="0.35">
      <c r="A55" t="s">
        <v>150</v>
      </c>
      <c r="B55" s="9">
        <v>45951</v>
      </c>
      <c r="C55" t="s">
        <v>37</v>
      </c>
      <c r="D55" t="s">
        <v>30</v>
      </c>
      <c r="E55" t="s">
        <v>90</v>
      </c>
      <c r="F55" t="s">
        <v>112</v>
      </c>
      <c r="G55" t="s">
        <v>71</v>
      </c>
      <c r="H55" s="12">
        <v>3</v>
      </c>
      <c r="I55" t="s">
        <v>41</v>
      </c>
      <c r="J55" s="7">
        <v>480000</v>
      </c>
      <c r="K55" s="7">
        <v>0</v>
      </c>
      <c r="L55" s="7">
        <v>480000</v>
      </c>
      <c r="M55" t="s">
        <v>25</v>
      </c>
      <c r="N55" t="s">
        <v>56</v>
      </c>
      <c r="O55">
        <v>4</v>
      </c>
      <c r="P55" t="s">
        <v>550</v>
      </c>
      <c r="Q55" t="s">
        <v>72</v>
      </c>
    </row>
    <row r="56" spans="1:18" x14ac:dyDescent="0.35">
      <c r="A56" t="s">
        <v>152</v>
      </c>
      <c r="B56" s="9">
        <v>45704</v>
      </c>
      <c r="C56" t="s">
        <v>45</v>
      </c>
      <c r="D56" t="s">
        <v>46</v>
      </c>
      <c r="E56" t="s">
        <v>99</v>
      </c>
      <c r="F56" t="s">
        <v>54</v>
      </c>
      <c r="G56" t="s">
        <v>66</v>
      </c>
      <c r="H56" s="12">
        <v>3</v>
      </c>
      <c r="I56" t="s">
        <v>41</v>
      </c>
      <c r="J56" s="7">
        <v>630000</v>
      </c>
      <c r="K56" s="7">
        <v>63000</v>
      </c>
      <c r="L56" s="7">
        <v>567000</v>
      </c>
      <c r="M56" t="s">
        <v>33</v>
      </c>
      <c r="N56" t="s">
        <v>34</v>
      </c>
      <c r="O56">
        <v>5</v>
      </c>
      <c r="P56" t="s">
        <v>550</v>
      </c>
      <c r="Q56" t="s">
        <v>60</v>
      </c>
    </row>
    <row r="57" spans="1:18" x14ac:dyDescent="0.35">
      <c r="A57" t="s">
        <v>154</v>
      </c>
      <c r="B57" s="9">
        <v>45920</v>
      </c>
      <c r="C57" t="s">
        <v>58</v>
      </c>
      <c r="D57" t="s">
        <v>59</v>
      </c>
      <c r="E57" t="s">
        <v>99</v>
      </c>
      <c r="F57" t="s">
        <v>84</v>
      </c>
      <c r="G57" t="s">
        <v>40</v>
      </c>
      <c r="H57" s="12">
        <v>3</v>
      </c>
      <c r="I57" t="s">
        <v>41</v>
      </c>
      <c r="J57" s="7">
        <v>525000</v>
      </c>
      <c r="K57" s="7">
        <v>0</v>
      </c>
      <c r="L57" s="7">
        <v>525000</v>
      </c>
      <c r="M57" t="s">
        <v>78</v>
      </c>
      <c r="N57" t="s">
        <v>56</v>
      </c>
      <c r="O57">
        <v>4</v>
      </c>
      <c r="P57" t="s">
        <v>550</v>
      </c>
      <c r="Q57" t="s">
        <v>43</v>
      </c>
      <c r="R57" t="s">
        <v>96</v>
      </c>
    </row>
    <row r="58" spans="1:18" x14ac:dyDescent="0.35">
      <c r="A58" t="s">
        <v>156</v>
      </c>
      <c r="B58" s="9">
        <v>45747</v>
      </c>
      <c r="C58" t="s">
        <v>37</v>
      </c>
      <c r="D58" t="s">
        <v>30</v>
      </c>
      <c r="E58" t="s">
        <v>90</v>
      </c>
      <c r="F58" t="s">
        <v>39</v>
      </c>
      <c r="G58" t="s">
        <v>71</v>
      </c>
      <c r="H58" s="12">
        <v>2</v>
      </c>
      <c r="I58" t="s">
        <v>24</v>
      </c>
      <c r="J58" s="7">
        <v>250000</v>
      </c>
      <c r="K58" s="7">
        <v>12500</v>
      </c>
      <c r="L58" s="7">
        <v>237500</v>
      </c>
      <c r="M58" t="s">
        <v>33</v>
      </c>
      <c r="N58" t="s">
        <v>34</v>
      </c>
      <c r="O58">
        <v>3</v>
      </c>
      <c r="P58" t="s">
        <v>550</v>
      </c>
      <c r="Q58" t="s">
        <v>48</v>
      </c>
      <c r="R58" t="s">
        <v>96</v>
      </c>
    </row>
    <row r="59" spans="1:18" x14ac:dyDescent="0.35">
      <c r="A59" t="s">
        <v>158</v>
      </c>
      <c r="B59" s="9">
        <v>45893</v>
      </c>
      <c r="C59" t="s">
        <v>53</v>
      </c>
      <c r="D59" t="s">
        <v>20</v>
      </c>
      <c r="E59" t="s">
        <v>99</v>
      </c>
      <c r="F59" t="s">
        <v>84</v>
      </c>
      <c r="G59" t="s">
        <v>23</v>
      </c>
      <c r="H59" s="12">
        <v>1</v>
      </c>
      <c r="I59" t="s">
        <v>32</v>
      </c>
      <c r="J59" s="7">
        <v>135000</v>
      </c>
      <c r="K59" s="7">
        <v>0</v>
      </c>
      <c r="L59" s="7">
        <v>135000</v>
      </c>
      <c r="M59" t="s">
        <v>78</v>
      </c>
      <c r="N59" t="s">
        <v>56</v>
      </c>
      <c r="O59">
        <v>5</v>
      </c>
      <c r="P59" t="s">
        <v>550</v>
      </c>
      <c r="Q59" t="s">
        <v>60</v>
      </c>
    </row>
    <row r="60" spans="1:18" x14ac:dyDescent="0.35">
      <c r="A60" t="s">
        <v>159</v>
      </c>
      <c r="B60" s="9">
        <v>45778</v>
      </c>
      <c r="C60" t="s">
        <v>58</v>
      </c>
      <c r="D60" t="s">
        <v>46</v>
      </c>
      <c r="E60" t="s">
        <v>31</v>
      </c>
      <c r="F60" t="s">
        <v>39</v>
      </c>
      <c r="G60" t="s">
        <v>23</v>
      </c>
      <c r="H60" s="12">
        <v>4</v>
      </c>
      <c r="I60" t="s">
        <v>32</v>
      </c>
      <c r="J60" s="7">
        <v>900000</v>
      </c>
      <c r="K60" s="7">
        <v>45000</v>
      </c>
      <c r="L60" s="7">
        <v>855000</v>
      </c>
      <c r="M60" t="s">
        <v>25</v>
      </c>
      <c r="N60" t="s">
        <v>34</v>
      </c>
      <c r="O60" t="s">
        <v>550</v>
      </c>
      <c r="P60" t="s">
        <v>550</v>
      </c>
      <c r="Q60" t="s">
        <v>43</v>
      </c>
      <c r="R60" t="s">
        <v>49</v>
      </c>
    </row>
    <row r="61" spans="1:18" x14ac:dyDescent="0.35">
      <c r="A61" t="s">
        <v>160</v>
      </c>
      <c r="B61" s="9">
        <v>45981</v>
      </c>
      <c r="C61" t="s">
        <v>53</v>
      </c>
      <c r="D61" t="s">
        <v>59</v>
      </c>
      <c r="E61" t="s">
        <v>90</v>
      </c>
      <c r="F61" t="s">
        <v>84</v>
      </c>
      <c r="G61" t="s">
        <v>40</v>
      </c>
      <c r="H61" s="12">
        <v>2</v>
      </c>
      <c r="I61" t="s">
        <v>24</v>
      </c>
      <c r="J61" s="7">
        <v>280000</v>
      </c>
      <c r="K61" s="7">
        <v>0</v>
      </c>
      <c r="L61" s="7">
        <v>280000</v>
      </c>
      <c r="M61" t="s">
        <v>33</v>
      </c>
      <c r="N61" t="s">
        <v>34</v>
      </c>
      <c r="O61">
        <v>4</v>
      </c>
      <c r="P61" t="s">
        <v>550</v>
      </c>
      <c r="Q61" t="s">
        <v>72</v>
      </c>
      <c r="R61" t="s">
        <v>35</v>
      </c>
    </row>
    <row r="62" spans="1:18" x14ac:dyDescent="0.35">
      <c r="A62" t="s">
        <v>161</v>
      </c>
      <c r="B62" s="9">
        <v>45888</v>
      </c>
      <c r="C62" t="s">
        <v>45</v>
      </c>
      <c r="D62" t="s">
        <v>46</v>
      </c>
      <c r="E62" t="s">
        <v>31</v>
      </c>
      <c r="F62" t="s">
        <v>112</v>
      </c>
      <c r="G62" t="s">
        <v>66</v>
      </c>
      <c r="H62" s="12">
        <v>1</v>
      </c>
      <c r="I62" t="s">
        <v>41</v>
      </c>
      <c r="J62" s="7">
        <v>210000</v>
      </c>
      <c r="K62" s="7">
        <v>31500</v>
      </c>
      <c r="L62" s="7">
        <v>178500</v>
      </c>
      <c r="M62" t="s">
        <v>25</v>
      </c>
      <c r="N62" t="s">
        <v>34</v>
      </c>
      <c r="O62">
        <v>3</v>
      </c>
      <c r="P62" t="s">
        <v>550</v>
      </c>
      <c r="Q62" t="s">
        <v>27</v>
      </c>
      <c r="R62" t="s">
        <v>49</v>
      </c>
    </row>
    <row r="63" spans="1:18" x14ac:dyDescent="0.35">
      <c r="A63" t="s">
        <v>163</v>
      </c>
      <c r="B63" s="9">
        <v>46005</v>
      </c>
      <c r="C63" t="s">
        <v>45</v>
      </c>
      <c r="D63" t="s">
        <v>20</v>
      </c>
      <c r="E63" t="s">
        <v>21</v>
      </c>
      <c r="F63" t="s">
        <v>549</v>
      </c>
      <c r="G63" t="s">
        <v>47</v>
      </c>
      <c r="H63" s="12">
        <v>1</v>
      </c>
      <c r="I63" t="s">
        <v>55</v>
      </c>
      <c r="J63" s="7">
        <v>160000</v>
      </c>
      <c r="K63" s="7">
        <v>0</v>
      </c>
      <c r="L63" s="7">
        <v>160000</v>
      </c>
      <c r="M63" t="s">
        <v>78</v>
      </c>
      <c r="N63" t="s">
        <v>34</v>
      </c>
      <c r="O63">
        <v>3</v>
      </c>
      <c r="P63" t="s">
        <v>550</v>
      </c>
      <c r="Q63" t="s">
        <v>27</v>
      </c>
      <c r="R63" t="s">
        <v>49</v>
      </c>
    </row>
    <row r="64" spans="1:18" x14ac:dyDescent="0.35">
      <c r="A64" t="s">
        <v>165</v>
      </c>
      <c r="B64" s="9">
        <v>45723</v>
      </c>
      <c r="C64" t="s">
        <v>45</v>
      </c>
      <c r="D64" t="s">
        <v>20</v>
      </c>
      <c r="E64" t="s">
        <v>21</v>
      </c>
      <c r="F64" t="s">
        <v>54</v>
      </c>
      <c r="G64" t="s">
        <v>71</v>
      </c>
      <c r="H64" s="12">
        <v>1</v>
      </c>
      <c r="I64" t="s">
        <v>55</v>
      </c>
      <c r="J64" s="7">
        <v>160000</v>
      </c>
      <c r="K64" s="7">
        <v>0</v>
      </c>
      <c r="L64" s="7">
        <v>160000</v>
      </c>
      <c r="M64" t="s">
        <v>33</v>
      </c>
      <c r="N64" t="s">
        <v>34</v>
      </c>
      <c r="O64" t="s">
        <v>550</v>
      </c>
      <c r="P64" t="s">
        <v>550</v>
      </c>
      <c r="Q64" t="s">
        <v>48</v>
      </c>
      <c r="R64" t="s">
        <v>96</v>
      </c>
    </row>
    <row r="65" spans="1:18" x14ac:dyDescent="0.35">
      <c r="A65" t="s">
        <v>166</v>
      </c>
      <c r="B65" s="9">
        <v>45725</v>
      </c>
      <c r="C65" t="s">
        <v>45</v>
      </c>
      <c r="D65" t="s">
        <v>30</v>
      </c>
      <c r="E65" t="s">
        <v>103</v>
      </c>
      <c r="F65" t="s">
        <v>39</v>
      </c>
      <c r="G65" t="s">
        <v>23</v>
      </c>
      <c r="H65" s="12">
        <v>2</v>
      </c>
      <c r="I65" t="s">
        <v>24</v>
      </c>
      <c r="J65" s="7">
        <v>250000</v>
      </c>
      <c r="K65" s="7">
        <v>12500</v>
      </c>
      <c r="L65" s="7">
        <v>237500</v>
      </c>
      <c r="M65" t="s">
        <v>42</v>
      </c>
      <c r="N65" t="s">
        <v>26</v>
      </c>
      <c r="O65">
        <v>4</v>
      </c>
      <c r="P65" t="s">
        <v>167</v>
      </c>
      <c r="Q65" t="s">
        <v>27</v>
      </c>
      <c r="R65" t="s">
        <v>94</v>
      </c>
    </row>
    <row r="66" spans="1:18" x14ac:dyDescent="0.35">
      <c r="A66" t="s">
        <v>168</v>
      </c>
      <c r="B66" s="9">
        <v>46005</v>
      </c>
      <c r="C66" t="s">
        <v>45</v>
      </c>
      <c r="D66" t="s">
        <v>30</v>
      </c>
      <c r="E66" t="s">
        <v>99</v>
      </c>
      <c r="F66" t="s">
        <v>549</v>
      </c>
      <c r="G66" t="s">
        <v>66</v>
      </c>
      <c r="H66" s="12">
        <v>4</v>
      </c>
      <c r="I66" t="s">
        <v>55</v>
      </c>
      <c r="J66" s="7">
        <v>800000</v>
      </c>
      <c r="K66" s="7">
        <v>80000</v>
      </c>
      <c r="L66" s="7">
        <v>720000</v>
      </c>
      <c r="M66" t="s">
        <v>78</v>
      </c>
      <c r="N66" t="s">
        <v>34</v>
      </c>
      <c r="O66">
        <v>4</v>
      </c>
      <c r="P66" t="s">
        <v>550</v>
      </c>
      <c r="Q66" t="s">
        <v>48</v>
      </c>
      <c r="R66" t="s">
        <v>35</v>
      </c>
    </row>
    <row r="67" spans="1:18" x14ac:dyDescent="0.35">
      <c r="A67" t="s">
        <v>169</v>
      </c>
      <c r="B67" s="9">
        <v>45733</v>
      </c>
      <c r="C67" t="s">
        <v>69</v>
      </c>
      <c r="D67" t="s">
        <v>20</v>
      </c>
      <c r="E67" t="s">
        <v>103</v>
      </c>
      <c r="F67" t="s">
        <v>54</v>
      </c>
      <c r="G67" t="s">
        <v>40</v>
      </c>
      <c r="H67" s="12">
        <v>2</v>
      </c>
      <c r="I67" t="s">
        <v>41</v>
      </c>
      <c r="J67" s="7">
        <v>240000</v>
      </c>
      <c r="K67" s="7">
        <v>0</v>
      </c>
      <c r="L67" s="7">
        <v>240000</v>
      </c>
      <c r="M67" t="s">
        <v>78</v>
      </c>
      <c r="N67" t="s">
        <v>34</v>
      </c>
      <c r="O67">
        <v>4</v>
      </c>
      <c r="P67" t="s">
        <v>550</v>
      </c>
      <c r="Q67" t="s">
        <v>60</v>
      </c>
    </row>
    <row r="68" spans="1:18" x14ac:dyDescent="0.35">
      <c r="A68" t="s">
        <v>170</v>
      </c>
      <c r="B68" s="9">
        <v>46019</v>
      </c>
      <c r="C68" t="s">
        <v>69</v>
      </c>
      <c r="D68" t="s">
        <v>30</v>
      </c>
      <c r="E68" t="s">
        <v>90</v>
      </c>
      <c r="F68" t="s">
        <v>84</v>
      </c>
      <c r="G68" t="s">
        <v>47</v>
      </c>
      <c r="H68" s="12">
        <v>4</v>
      </c>
      <c r="I68" t="s">
        <v>55</v>
      </c>
      <c r="J68" s="7">
        <v>800000</v>
      </c>
      <c r="K68" s="7">
        <v>80000</v>
      </c>
      <c r="L68" s="7">
        <v>720000</v>
      </c>
      <c r="M68" t="s">
        <v>550</v>
      </c>
      <c r="N68" t="s">
        <v>34</v>
      </c>
      <c r="O68">
        <v>5</v>
      </c>
      <c r="P68" t="s">
        <v>550</v>
      </c>
      <c r="Q68" t="s">
        <v>48</v>
      </c>
      <c r="R68" t="s">
        <v>49</v>
      </c>
    </row>
    <row r="69" spans="1:18" x14ac:dyDescent="0.35">
      <c r="A69" t="s">
        <v>171</v>
      </c>
      <c r="B69" s="9">
        <v>45932</v>
      </c>
      <c r="C69" t="s">
        <v>58</v>
      </c>
      <c r="D69" t="s">
        <v>80</v>
      </c>
      <c r="E69" t="s">
        <v>90</v>
      </c>
      <c r="F69" t="s">
        <v>39</v>
      </c>
      <c r="G69" t="s">
        <v>23</v>
      </c>
      <c r="H69" s="12">
        <v>1</v>
      </c>
      <c r="I69" t="s">
        <v>55</v>
      </c>
      <c r="J69" s="7">
        <v>265000</v>
      </c>
      <c r="K69" s="7">
        <v>26500</v>
      </c>
      <c r="L69" s="7">
        <v>238500</v>
      </c>
      <c r="M69" t="s">
        <v>25</v>
      </c>
      <c r="N69" t="s">
        <v>56</v>
      </c>
      <c r="O69">
        <v>4</v>
      </c>
      <c r="P69" t="s">
        <v>550</v>
      </c>
      <c r="Q69" t="s">
        <v>43</v>
      </c>
    </row>
    <row r="70" spans="1:18" x14ac:dyDescent="0.35">
      <c r="A70" t="s">
        <v>172</v>
      </c>
      <c r="B70" s="9">
        <v>45680</v>
      </c>
      <c r="C70" t="s">
        <v>69</v>
      </c>
      <c r="D70" t="s">
        <v>59</v>
      </c>
      <c r="E70" t="s">
        <v>31</v>
      </c>
      <c r="F70" t="s">
        <v>84</v>
      </c>
      <c r="G70" t="s">
        <v>40</v>
      </c>
      <c r="H70" s="12">
        <v>3</v>
      </c>
      <c r="I70" t="s">
        <v>24</v>
      </c>
      <c r="J70" s="7">
        <v>420000</v>
      </c>
      <c r="K70" s="7">
        <v>42000</v>
      </c>
      <c r="L70" s="7">
        <v>378000</v>
      </c>
      <c r="M70" t="s">
        <v>33</v>
      </c>
      <c r="N70" t="s">
        <v>34</v>
      </c>
      <c r="O70">
        <v>5</v>
      </c>
      <c r="P70" t="s">
        <v>550</v>
      </c>
      <c r="Q70" t="s">
        <v>60</v>
      </c>
      <c r="R70" t="s">
        <v>35</v>
      </c>
    </row>
    <row r="71" spans="1:18" x14ac:dyDescent="0.35">
      <c r="A71" t="s">
        <v>173</v>
      </c>
      <c r="B71" s="9">
        <v>45690</v>
      </c>
      <c r="C71" t="s">
        <v>69</v>
      </c>
      <c r="D71" t="s">
        <v>20</v>
      </c>
      <c r="E71" t="s">
        <v>31</v>
      </c>
      <c r="F71" t="s">
        <v>39</v>
      </c>
      <c r="G71" t="s">
        <v>47</v>
      </c>
      <c r="H71" s="12">
        <v>1</v>
      </c>
      <c r="I71" t="s">
        <v>32</v>
      </c>
      <c r="J71" s="7">
        <v>135000</v>
      </c>
      <c r="K71" s="7">
        <v>13500</v>
      </c>
      <c r="L71" s="7">
        <v>121500</v>
      </c>
      <c r="M71" t="s">
        <v>25</v>
      </c>
      <c r="N71" t="s">
        <v>34</v>
      </c>
      <c r="O71">
        <v>4</v>
      </c>
      <c r="P71" t="s">
        <v>550</v>
      </c>
      <c r="Q71" t="s">
        <v>27</v>
      </c>
    </row>
    <row r="72" spans="1:18" x14ac:dyDescent="0.35">
      <c r="A72" t="s">
        <v>175</v>
      </c>
      <c r="B72" s="9">
        <v>45881</v>
      </c>
      <c r="C72" t="s">
        <v>69</v>
      </c>
      <c r="D72" t="s">
        <v>30</v>
      </c>
      <c r="E72" t="s">
        <v>99</v>
      </c>
      <c r="F72" t="s">
        <v>549</v>
      </c>
      <c r="G72" t="s">
        <v>23</v>
      </c>
      <c r="H72" s="12">
        <v>4</v>
      </c>
      <c r="I72" t="s">
        <v>41</v>
      </c>
      <c r="J72" s="7">
        <v>640000</v>
      </c>
      <c r="K72" s="7">
        <v>0</v>
      </c>
      <c r="L72" s="7">
        <v>640000</v>
      </c>
      <c r="M72" t="s">
        <v>78</v>
      </c>
      <c r="N72" t="s">
        <v>34</v>
      </c>
      <c r="O72">
        <v>5</v>
      </c>
      <c r="P72" t="s">
        <v>550</v>
      </c>
      <c r="Q72" t="s">
        <v>48</v>
      </c>
      <c r="R72" t="s">
        <v>96</v>
      </c>
    </row>
    <row r="73" spans="1:18" x14ac:dyDescent="0.35">
      <c r="A73" t="s">
        <v>177</v>
      </c>
      <c r="B73" s="9">
        <v>45876</v>
      </c>
      <c r="C73" t="s">
        <v>37</v>
      </c>
      <c r="D73" t="s">
        <v>30</v>
      </c>
      <c r="E73" t="s">
        <v>31</v>
      </c>
      <c r="F73" t="s">
        <v>54</v>
      </c>
      <c r="G73" t="s">
        <v>47</v>
      </c>
      <c r="H73" s="12">
        <v>2</v>
      </c>
      <c r="I73" t="s">
        <v>41</v>
      </c>
      <c r="J73" s="7">
        <v>320000</v>
      </c>
      <c r="K73" s="7">
        <v>48000</v>
      </c>
      <c r="L73" s="7">
        <v>272000</v>
      </c>
      <c r="M73" t="s">
        <v>33</v>
      </c>
      <c r="N73" t="s">
        <v>56</v>
      </c>
      <c r="O73" t="s">
        <v>550</v>
      </c>
      <c r="P73" t="s">
        <v>550</v>
      </c>
      <c r="Q73" t="s">
        <v>43</v>
      </c>
    </row>
    <row r="74" spans="1:18" x14ac:dyDescent="0.35">
      <c r="A74" t="s">
        <v>179</v>
      </c>
      <c r="B74" s="9">
        <v>45675</v>
      </c>
      <c r="C74" t="s">
        <v>37</v>
      </c>
      <c r="D74" t="s">
        <v>20</v>
      </c>
      <c r="E74" t="s">
        <v>103</v>
      </c>
      <c r="F74" t="s">
        <v>549</v>
      </c>
      <c r="G74" t="s">
        <v>40</v>
      </c>
      <c r="H74" s="12">
        <v>1</v>
      </c>
      <c r="I74" t="s">
        <v>32</v>
      </c>
      <c r="J74" s="7">
        <v>135000</v>
      </c>
      <c r="K74" s="7">
        <v>0</v>
      </c>
      <c r="L74" s="7">
        <v>135000</v>
      </c>
      <c r="M74" t="s">
        <v>25</v>
      </c>
      <c r="N74" t="s">
        <v>56</v>
      </c>
      <c r="O74">
        <v>4</v>
      </c>
      <c r="P74" t="s">
        <v>550</v>
      </c>
      <c r="Q74" t="s">
        <v>43</v>
      </c>
      <c r="R74" t="s">
        <v>96</v>
      </c>
    </row>
    <row r="75" spans="1:18" x14ac:dyDescent="0.35">
      <c r="A75" t="s">
        <v>181</v>
      </c>
      <c r="B75" s="9">
        <v>45945</v>
      </c>
      <c r="C75" t="s">
        <v>58</v>
      </c>
      <c r="D75" t="s">
        <v>59</v>
      </c>
      <c r="E75" t="s">
        <v>31</v>
      </c>
      <c r="F75" t="s">
        <v>54</v>
      </c>
      <c r="G75" t="s">
        <v>23</v>
      </c>
      <c r="H75" s="12">
        <v>2</v>
      </c>
      <c r="I75" t="s">
        <v>55</v>
      </c>
      <c r="J75" s="7">
        <v>430000</v>
      </c>
      <c r="K75" s="7">
        <v>0</v>
      </c>
      <c r="L75" s="7">
        <v>430000</v>
      </c>
      <c r="M75" t="s">
        <v>33</v>
      </c>
      <c r="N75" t="s">
        <v>26</v>
      </c>
      <c r="O75">
        <v>4</v>
      </c>
      <c r="P75" t="s">
        <v>183</v>
      </c>
      <c r="Q75" t="s">
        <v>48</v>
      </c>
    </row>
    <row r="76" spans="1:18" x14ac:dyDescent="0.35">
      <c r="A76" t="s">
        <v>184</v>
      </c>
      <c r="B76" s="9">
        <v>45806</v>
      </c>
      <c r="C76" t="s">
        <v>53</v>
      </c>
      <c r="D76" t="s">
        <v>46</v>
      </c>
      <c r="E76" t="s">
        <v>21</v>
      </c>
      <c r="F76" t="s">
        <v>39</v>
      </c>
      <c r="G76" t="s">
        <v>40</v>
      </c>
      <c r="H76" s="12">
        <v>4</v>
      </c>
      <c r="I76" t="s">
        <v>55</v>
      </c>
      <c r="J76" s="7">
        <v>1000000</v>
      </c>
      <c r="K76" s="7">
        <v>0</v>
      </c>
      <c r="L76" s="7">
        <v>1000000</v>
      </c>
      <c r="M76" t="s">
        <v>25</v>
      </c>
      <c r="N76" t="s">
        <v>34</v>
      </c>
      <c r="O76" t="s">
        <v>550</v>
      </c>
      <c r="P76" t="s">
        <v>550</v>
      </c>
      <c r="Q76" t="s">
        <v>43</v>
      </c>
      <c r="R76" t="s">
        <v>96</v>
      </c>
    </row>
    <row r="77" spans="1:18" x14ac:dyDescent="0.35">
      <c r="A77" t="s">
        <v>185</v>
      </c>
      <c r="B77" s="9">
        <v>45927</v>
      </c>
      <c r="C77" t="s">
        <v>69</v>
      </c>
      <c r="D77" t="s">
        <v>30</v>
      </c>
      <c r="E77" t="s">
        <v>90</v>
      </c>
      <c r="F77" t="s">
        <v>84</v>
      </c>
      <c r="G77" t="s">
        <v>23</v>
      </c>
      <c r="H77" s="12">
        <v>2</v>
      </c>
      <c r="I77" t="s">
        <v>41</v>
      </c>
      <c r="J77" s="7">
        <v>320000</v>
      </c>
      <c r="K77" s="7">
        <v>0</v>
      </c>
      <c r="L77" s="7">
        <v>320000</v>
      </c>
      <c r="M77" t="s">
        <v>25</v>
      </c>
      <c r="N77" t="s">
        <v>34</v>
      </c>
      <c r="O77" t="s">
        <v>550</v>
      </c>
      <c r="P77" t="s">
        <v>550</v>
      </c>
      <c r="Q77" t="s">
        <v>60</v>
      </c>
      <c r="R77" t="s">
        <v>35</v>
      </c>
    </row>
    <row r="78" spans="1:18" x14ac:dyDescent="0.35">
      <c r="A78" t="s">
        <v>186</v>
      </c>
      <c r="B78" s="9">
        <v>45835</v>
      </c>
      <c r="C78" t="s">
        <v>45</v>
      </c>
      <c r="D78" t="s">
        <v>59</v>
      </c>
      <c r="E78" t="s">
        <v>38</v>
      </c>
      <c r="F78" t="s">
        <v>549</v>
      </c>
      <c r="G78" t="s">
        <v>23</v>
      </c>
      <c r="H78" s="12">
        <v>3</v>
      </c>
      <c r="I78" t="s">
        <v>41</v>
      </c>
      <c r="J78" s="7">
        <v>525000</v>
      </c>
      <c r="K78" s="7">
        <v>52500</v>
      </c>
      <c r="L78" s="7">
        <v>472500</v>
      </c>
      <c r="M78" t="s">
        <v>33</v>
      </c>
      <c r="N78" t="s">
        <v>34</v>
      </c>
      <c r="O78">
        <v>5</v>
      </c>
      <c r="P78" t="s">
        <v>550</v>
      </c>
      <c r="Q78" t="s">
        <v>72</v>
      </c>
    </row>
    <row r="79" spans="1:18" x14ac:dyDescent="0.35">
      <c r="A79" t="s">
        <v>187</v>
      </c>
      <c r="B79" s="9">
        <v>45699</v>
      </c>
      <c r="C79" t="s">
        <v>58</v>
      </c>
      <c r="D79" t="s">
        <v>80</v>
      </c>
      <c r="E79" t="s">
        <v>31</v>
      </c>
      <c r="F79" t="s">
        <v>39</v>
      </c>
      <c r="G79" t="s">
        <v>71</v>
      </c>
      <c r="H79" s="12">
        <v>3</v>
      </c>
      <c r="I79" t="s">
        <v>41</v>
      </c>
      <c r="J79" s="7">
        <v>675000</v>
      </c>
      <c r="K79" s="7">
        <v>101250</v>
      </c>
      <c r="L79" s="7">
        <v>573750</v>
      </c>
      <c r="M79" t="s">
        <v>25</v>
      </c>
      <c r="N79" t="s">
        <v>34</v>
      </c>
      <c r="O79">
        <v>4</v>
      </c>
      <c r="P79" t="s">
        <v>550</v>
      </c>
      <c r="Q79" t="s">
        <v>27</v>
      </c>
      <c r="R79" t="s">
        <v>96</v>
      </c>
    </row>
    <row r="80" spans="1:18" x14ac:dyDescent="0.35">
      <c r="A80" t="s">
        <v>188</v>
      </c>
      <c r="B80" s="9">
        <v>45834</v>
      </c>
      <c r="C80" t="s">
        <v>69</v>
      </c>
      <c r="D80" t="s">
        <v>46</v>
      </c>
      <c r="E80" t="s">
        <v>31</v>
      </c>
      <c r="F80" t="s">
        <v>112</v>
      </c>
      <c r="G80" t="s">
        <v>71</v>
      </c>
      <c r="H80" s="12">
        <v>1</v>
      </c>
      <c r="I80" t="s">
        <v>41</v>
      </c>
      <c r="J80" s="7">
        <v>210000</v>
      </c>
      <c r="K80" s="7">
        <v>10500</v>
      </c>
      <c r="L80" s="7">
        <v>199500</v>
      </c>
      <c r="M80" t="s">
        <v>42</v>
      </c>
      <c r="N80" t="s">
        <v>34</v>
      </c>
      <c r="O80">
        <v>4</v>
      </c>
      <c r="P80" t="s">
        <v>550</v>
      </c>
      <c r="Q80" t="s">
        <v>48</v>
      </c>
    </row>
    <row r="81" spans="1:18" x14ac:dyDescent="0.35">
      <c r="A81" t="s">
        <v>189</v>
      </c>
      <c r="B81" s="9">
        <v>45818</v>
      </c>
      <c r="C81" t="s">
        <v>37</v>
      </c>
      <c r="D81" t="s">
        <v>46</v>
      </c>
      <c r="E81" t="s">
        <v>99</v>
      </c>
      <c r="F81" t="s">
        <v>112</v>
      </c>
      <c r="G81" t="s">
        <v>66</v>
      </c>
      <c r="H81" s="12">
        <v>1</v>
      </c>
      <c r="I81" t="s">
        <v>24</v>
      </c>
      <c r="J81" s="7">
        <v>175000</v>
      </c>
      <c r="K81" s="7">
        <v>8750</v>
      </c>
      <c r="L81" s="7">
        <v>166250</v>
      </c>
      <c r="M81" t="s">
        <v>33</v>
      </c>
      <c r="N81" t="s">
        <v>34</v>
      </c>
      <c r="O81">
        <v>5</v>
      </c>
      <c r="P81" t="s">
        <v>550</v>
      </c>
      <c r="Q81" t="s">
        <v>72</v>
      </c>
      <c r="R81" t="s">
        <v>96</v>
      </c>
    </row>
    <row r="82" spans="1:18" x14ac:dyDescent="0.35">
      <c r="A82" t="s">
        <v>190</v>
      </c>
      <c r="B82" s="9">
        <v>45878</v>
      </c>
      <c r="C82" t="s">
        <v>37</v>
      </c>
      <c r="D82" t="s">
        <v>59</v>
      </c>
      <c r="E82" t="s">
        <v>21</v>
      </c>
      <c r="F82" t="s">
        <v>549</v>
      </c>
      <c r="G82" t="s">
        <v>66</v>
      </c>
      <c r="H82" s="12">
        <v>2</v>
      </c>
      <c r="I82" t="s">
        <v>55</v>
      </c>
      <c r="J82" s="7">
        <v>430000</v>
      </c>
      <c r="K82" s="7">
        <v>0</v>
      </c>
      <c r="L82" s="7">
        <v>430000</v>
      </c>
      <c r="M82" t="s">
        <v>78</v>
      </c>
      <c r="N82" t="s">
        <v>34</v>
      </c>
      <c r="O82">
        <v>5</v>
      </c>
      <c r="P82" t="s">
        <v>550</v>
      </c>
      <c r="Q82" t="s">
        <v>43</v>
      </c>
    </row>
    <row r="83" spans="1:18" x14ac:dyDescent="0.35">
      <c r="A83" t="s">
        <v>191</v>
      </c>
      <c r="B83" s="9">
        <v>45849</v>
      </c>
      <c r="C83" t="s">
        <v>53</v>
      </c>
      <c r="D83" t="s">
        <v>80</v>
      </c>
      <c r="E83" t="s">
        <v>31</v>
      </c>
      <c r="F83" t="s">
        <v>39</v>
      </c>
      <c r="G83" t="s">
        <v>23</v>
      </c>
      <c r="H83" s="12">
        <v>1</v>
      </c>
      <c r="I83" t="s">
        <v>24</v>
      </c>
      <c r="J83" s="7">
        <v>190000</v>
      </c>
      <c r="K83" s="7">
        <v>0</v>
      </c>
      <c r="L83" s="7">
        <v>190000</v>
      </c>
      <c r="M83" t="s">
        <v>78</v>
      </c>
      <c r="N83" t="s">
        <v>56</v>
      </c>
      <c r="O83">
        <v>4</v>
      </c>
      <c r="P83" t="s">
        <v>550</v>
      </c>
      <c r="Q83" t="s">
        <v>27</v>
      </c>
      <c r="R83" t="s">
        <v>94</v>
      </c>
    </row>
    <row r="84" spans="1:18" x14ac:dyDescent="0.35">
      <c r="A84" t="s">
        <v>192</v>
      </c>
      <c r="B84" s="9">
        <v>45961</v>
      </c>
      <c r="C84" t="s">
        <v>53</v>
      </c>
      <c r="D84" t="s">
        <v>80</v>
      </c>
      <c r="E84" t="s">
        <v>90</v>
      </c>
      <c r="F84" t="s">
        <v>112</v>
      </c>
      <c r="G84" t="s">
        <v>66</v>
      </c>
      <c r="H84" s="12">
        <v>4</v>
      </c>
      <c r="I84" t="s">
        <v>24</v>
      </c>
      <c r="J84" s="7">
        <v>760000</v>
      </c>
      <c r="K84" s="7">
        <v>0</v>
      </c>
      <c r="L84" s="7">
        <v>760000</v>
      </c>
      <c r="M84" t="s">
        <v>33</v>
      </c>
      <c r="N84" t="s">
        <v>34</v>
      </c>
      <c r="O84">
        <v>4</v>
      </c>
      <c r="P84" t="s">
        <v>550</v>
      </c>
      <c r="Q84" t="s">
        <v>48</v>
      </c>
      <c r="R84" t="s">
        <v>94</v>
      </c>
    </row>
    <row r="85" spans="1:18" x14ac:dyDescent="0.35">
      <c r="A85" t="s">
        <v>193</v>
      </c>
      <c r="B85" s="9">
        <v>45953</v>
      </c>
      <c r="C85" t="s">
        <v>37</v>
      </c>
      <c r="D85" t="s">
        <v>20</v>
      </c>
      <c r="E85" t="s">
        <v>90</v>
      </c>
      <c r="F85" t="s">
        <v>54</v>
      </c>
      <c r="G85" t="s">
        <v>23</v>
      </c>
      <c r="H85" s="12">
        <v>4</v>
      </c>
      <c r="I85" t="s">
        <v>55</v>
      </c>
      <c r="J85" s="7">
        <v>640000</v>
      </c>
      <c r="K85" s="7">
        <v>0</v>
      </c>
      <c r="L85" s="7">
        <v>640000</v>
      </c>
      <c r="M85" t="s">
        <v>78</v>
      </c>
      <c r="N85" t="s">
        <v>34</v>
      </c>
      <c r="O85">
        <v>5</v>
      </c>
      <c r="P85" t="s">
        <v>550</v>
      </c>
      <c r="Q85" t="s">
        <v>48</v>
      </c>
      <c r="R85" t="s">
        <v>94</v>
      </c>
    </row>
    <row r="86" spans="1:18" x14ac:dyDescent="0.35">
      <c r="A86" t="s">
        <v>195</v>
      </c>
      <c r="B86" s="9">
        <v>45899</v>
      </c>
      <c r="C86" t="s">
        <v>58</v>
      </c>
      <c r="D86" t="s">
        <v>46</v>
      </c>
      <c r="E86" t="s">
        <v>90</v>
      </c>
      <c r="F86" t="s">
        <v>39</v>
      </c>
      <c r="G86" t="s">
        <v>71</v>
      </c>
      <c r="H86" s="12">
        <v>2</v>
      </c>
      <c r="I86" t="s">
        <v>41</v>
      </c>
      <c r="J86" s="7">
        <v>420000</v>
      </c>
      <c r="K86" s="7">
        <v>0</v>
      </c>
      <c r="L86" s="7">
        <v>420000</v>
      </c>
      <c r="M86" t="s">
        <v>78</v>
      </c>
      <c r="N86" t="s">
        <v>56</v>
      </c>
      <c r="O86">
        <v>4</v>
      </c>
      <c r="P86" t="s">
        <v>550</v>
      </c>
      <c r="Q86" t="s">
        <v>60</v>
      </c>
      <c r="R86" t="s">
        <v>49</v>
      </c>
    </row>
    <row r="87" spans="1:18" x14ac:dyDescent="0.35">
      <c r="A87" t="s">
        <v>196</v>
      </c>
      <c r="B87" s="9">
        <v>45810</v>
      </c>
      <c r="C87" t="s">
        <v>53</v>
      </c>
      <c r="D87" t="s">
        <v>46</v>
      </c>
      <c r="E87" t="s">
        <v>21</v>
      </c>
      <c r="F87" t="s">
        <v>54</v>
      </c>
      <c r="G87" t="s">
        <v>40</v>
      </c>
      <c r="H87" s="12">
        <v>1</v>
      </c>
      <c r="I87" t="s">
        <v>32</v>
      </c>
      <c r="J87" s="7">
        <v>225000</v>
      </c>
      <c r="K87" s="7">
        <v>11250</v>
      </c>
      <c r="L87" s="7">
        <v>213750</v>
      </c>
      <c r="M87" t="s">
        <v>33</v>
      </c>
      <c r="N87" t="s">
        <v>34</v>
      </c>
      <c r="O87" t="s">
        <v>550</v>
      </c>
      <c r="P87" t="s">
        <v>550</v>
      </c>
      <c r="Q87" t="s">
        <v>48</v>
      </c>
    </row>
    <row r="88" spans="1:18" x14ac:dyDescent="0.35">
      <c r="A88" t="s">
        <v>197</v>
      </c>
      <c r="B88" s="9">
        <v>45796</v>
      </c>
      <c r="C88" t="s">
        <v>45</v>
      </c>
      <c r="D88" t="s">
        <v>59</v>
      </c>
      <c r="E88" t="s">
        <v>103</v>
      </c>
      <c r="F88" t="s">
        <v>84</v>
      </c>
      <c r="G88" t="s">
        <v>71</v>
      </c>
      <c r="H88" s="12">
        <v>1</v>
      </c>
      <c r="I88" t="s">
        <v>55</v>
      </c>
      <c r="J88" s="7">
        <v>215000</v>
      </c>
      <c r="K88" s="7">
        <v>32250</v>
      </c>
      <c r="L88" s="7">
        <v>182750</v>
      </c>
      <c r="M88" t="s">
        <v>42</v>
      </c>
      <c r="N88" t="s">
        <v>34</v>
      </c>
      <c r="O88">
        <v>4</v>
      </c>
      <c r="P88" t="s">
        <v>550</v>
      </c>
      <c r="Q88" t="s">
        <v>60</v>
      </c>
    </row>
    <row r="89" spans="1:18" x14ac:dyDescent="0.35">
      <c r="A89" t="s">
        <v>200</v>
      </c>
      <c r="B89" s="9">
        <v>45866</v>
      </c>
      <c r="C89" t="s">
        <v>69</v>
      </c>
      <c r="D89" t="s">
        <v>30</v>
      </c>
      <c r="E89" t="s">
        <v>21</v>
      </c>
      <c r="F89" t="s">
        <v>39</v>
      </c>
      <c r="G89" t="s">
        <v>40</v>
      </c>
      <c r="H89" s="12">
        <v>3</v>
      </c>
      <c r="I89" t="s">
        <v>55</v>
      </c>
      <c r="J89" s="7">
        <v>600000</v>
      </c>
      <c r="K89" s="7">
        <v>60000</v>
      </c>
      <c r="L89" s="7">
        <v>540000</v>
      </c>
      <c r="M89" t="s">
        <v>25</v>
      </c>
      <c r="N89" t="s">
        <v>34</v>
      </c>
      <c r="O89">
        <v>5</v>
      </c>
      <c r="P89" t="s">
        <v>550</v>
      </c>
      <c r="Q89" t="s">
        <v>60</v>
      </c>
      <c r="R89" t="s">
        <v>94</v>
      </c>
    </row>
    <row r="90" spans="1:18" x14ac:dyDescent="0.35">
      <c r="A90" t="s">
        <v>201</v>
      </c>
      <c r="B90" s="9">
        <v>45806</v>
      </c>
      <c r="C90" t="s">
        <v>58</v>
      </c>
      <c r="D90" t="s">
        <v>20</v>
      </c>
      <c r="E90" t="s">
        <v>31</v>
      </c>
      <c r="F90" t="s">
        <v>112</v>
      </c>
      <c r="G90" t="s">
        <v>71</v>
      </c>
      <c r="H90" s="12">
        <v>2</v>
      </c>
      <c r="I90" t="s">
        <v>32</v>
      </c>
      <c r="J90" s="7">
        <v>270000</v>
      </c>
      <c r="K90" s="7">
        <v>0</v>
      </c>
      <c r="L90" s="7">
        <v>270000</v>
      </c>
      <c r="M90" t="s">
        <v>33</v>
      </c>
      <c r="N90" t="s">
        <v>34</v>
      </c>
      <c r="O90" t="s">
        <v>550</v>
      </c>
      <c r="P90" t="s">
        <v>550</v>
      </c>
      <c r="Q90" t="s">
        <v>60</v>
      </c>
      <c r="R90" t="s">
        <v>49</v>
      </c>
    </row>
    <row r="91" spans="1:18" x14ac:dyDescent="0.35">
      <c r="A91" t="s">
        <v>202</v>
      </c>
      <c r="B91" s="9">
        <v>45747</v>
      </c>
      <c r="C91" t="s">
        <v>45</v>
      </c>
      <c r="D91" t="s">
        <v>30</v>
      </c>
      <c r="E91" t="s">
        <v>99</v>
      </c>
      <c r="F91" t="s">
        <v>112</v>
      </c>
      <c r="G91" t="s">
        <v>40</v>
      </c>
      <c r="H91" s="12">
        <v>1</v>
      </c>
      <c r="I91" t="s">
        <v>32</v>
      </c>
      <c r="J91" s="7">
        <v>175000</v>
      </c>
      <c r="K91" s="7">
        <v>0</v>
      </c>
      <c r="L91" s="7">
        <v>175000</v>
      </c>
      <c r="M91" t="s">
        <v>25</v>
      </c>
      <c r="N91" t="s">
        <v>34</v>
      </c>
      <c r="O91">
        <v>4</v>
      </c>
      <c r="P91" t="s">
        <v>550</v>
      </c>
      <c r="Q91" t="s">
        <v>72</v>
      </c>
    </row>
    <row r="92" spans="1:18" x14ac:dyDescent="0.35">
      <c r="A92" t="s">
        <v>203</v>
      </c>
      <c r="B92" s="9">
        <v>45999</v>
      </c>
      <c r="C92" t="s">
        <v>58</v>
      </c>
      <c r="D92" t="s">
        <v>30</v>
      </c>
      <c r="E92" t="s">
        <v>31</v>
      </c>
      <c r="F92" t="s">
        <v>39</v>
      </c>
      <c r="G92" t="s">
        <v>66</v>
      </c>
      <c r="H92" s="12">
        <v>1</v>
      </c>
      <c r="I92" t="s">
        <v>41</v>
      </c>
      <c r="J92" s="7">
        <v>160000</v>
      </c>
      <c r="K92" s="7">
        <v>0</v>
      </c>
      <c r="L92" s="7">
        <v>160000</v>
      </c>
      <c r="M92" t="s">
        <v>33</v>
      </c>
      <c r="N92" t="s">
        <v>26</v>
      </c>
      <c r="O92">
        <v>5</v>
      </c>
      <c r="P92" t="s">
        <v>551</v>
      </c>
      <c r="Q92" t="s">
        <v>60</v>
      </c>
    </row>
    <row r="93" spans="1:18" x14ac:dyDescent="0.35">
      <c r="A93" t="s">
        <v>204</v>
      </c>
      <c r="B93" s="9">
        <v>46006</v>
      </c>
      <c r="C93" t="s">
        <v>45</v>
      </c>
      <c r="D93" t="s">
        <v>20</v>
      </c>
      <c r="E93" t="s">
        <v>90</v>
      </c>
      <c r="F93" t="s">
        <v>54</v>
      </c>
      <c r="G93" t="s">
        <v>71</v>
      </c>
      <c r="H93" s="12">
        <v>1</v>
      </c>
      <c r="I93" t="s">
        <v>24</v>
      </c>
      <c r="J93" s="7">
        <v>85000</v>
      </c>
      <c r="K93" s="7">
        <v>8500</v>
      </c>
      <c r="L93" s="7">
        <v>76500</v>
      </c>
      <c r="M93" t="s">
        <v>25</v>
      </c>
      <c r="N93" t="s">
        <v>56</v>
      </c>
      <c r="O93">
        <v>5</v>
      </c>
      <c r="P93" t="s">
        <v>550</v>
      </c>
      <c r="Q93" t="s">
        <v>43</v>
      </c>
    </row>
    <row r="94" spans="1:18" x14ac:dyDescent="0.35">
      <c r="A94" t="s">
        <v>206</v>
      </c>
      <c r="B94" s="9">
        <v>45725</v>
      </c>
      <c r="C94" t="s">
        <v>45</v>
      </c>
      <c r="D94" t="s">
        <v>30</v>
      </c>
      <c r="E94" t="s">
        <v>99</v>
      </c>
      <c r="F94" t="s">
        <v>112</v>
      </c>
      <c r="G94" t="s">
        <v>47</v>
      </c>
      <c r="H94" s="12">
        <v>1</v>
      </c>
      <c r="I94" t="s">
        <v>32</v>
      </c>
      <c r="J94" s="7">
        <v>175000</v>
      </c>
      <c r="K94" s="7">
        <v>0</v>
      </c>
      <c r="L94" s="7">
        <v>175000</v>
      </c>
      <c r="M94" t="s">
        <v>33</v>
      </c>
      <c r="N94" t="s">
        <v>26</v>
      </c>
      <c r="O94" t="s">
        <v>550</v>
      </c>
      <c r="P94" t="s">
        <v>551</v>
      </c>
      <c r="Q94" t="s">
        <v>43</v>
      </c>
      <c r="R94" t="s">
        <v>94</v>
      </c>
    </row>
    <row r="95" spans="1:18" x14ac:dyDescent="0.35">
      <c r="A95" t="s">
        <v>208</v>
      </c>
      <c r="B95" s="9">
        <v>45674</v>
      </c>
      <c r="C95" t="s">
        <v>53</v>
      </c>
      <c r="D95" t="s">
        <v>30</v>
      </c>
      <c r="E95" t="s">
        <v>103</v>
      </c>
      <c r="F95" t="s">
        <v>39</v>
      </c>
      <c r="G95" t="s">
        <v>66</v>
      </c>
      <c r="H95" s="12">
        <v>4</v>
      </c>
      <c r="I95" t="s">
        <v>32</v>
      </c>
      <c r="J95" s="7">
        <v>700000</v>
      </c>
      <c r="K95" s="7">
        <v>35000</v>
      </c>
      <c r="L95" s="7">
        <v>665000</v>
      </c>
      <c r="M95" t="s">
        <v>78</v>
      </c>
      <c r="N95" t="s">
        <v>34</v>
      </c>
      <c r="O95">
        <v>3</v>
      </c>
      <c r="P95" t="s">
        <v>550</v>
      </c>
      <c r="Q95" t="s">
        <v>72</v>
      </c>
      <c r="R95" t="s">
        <v>94</v>
      </c>
    </row>
    <row r="96" spans="1:18" x14ac:dyDescent="0.35">
      <c r="A96" t="s">
        <v>209</v>
      </c>
      <c r="B96" s="9">
        <v>45810</v>
      </c>
      <c r="C96" t="s">
        <v>69</v>
      </c>
      <c r="D96" t="s">
        <v>80</v>
      </c>
      <c r="E96" t="s">
        <v>99</v>
      </c>
      <c r="F96" t="s">
        <v>112</v>
      </c>
      <c r="G96" t="s">
        <v>66</v>
      </c>
      <c r="H96" s="12">
        <v>1</v>
      </c>
      <c r="I96" t="s">
        <v>55</v>
      </c>
      <c r="J96" s="7">
        <v>265000</v>
      </c>
      <c r="K96" s="7">
        <v>0</v>
      </c>
      <c r="L96" s="7">
        <v>265000</v>
      </c>
      <c r="M96" t="s">
        <v>42</v>
      </c>
      <c r="N96" t="s">
        <v>34</v>
      </c>
      <c r="O96">
        <v>4</v>
      </c>
      <c r="P96" t="s">
        <v>550</v>
      </c>
      <c r="Q96" t="s">
        <v>43</v>
      </c>
      <c r="R96" t="s">
        <v>94</v>
      </c>
    </row>
    <row r="97" spans="1:18" x14ac:dyDescent="0.35">
      <c r="A97" t="s">
        <v>210</v>
      </c>
      <c r="B97" s="9">
        <v>45964</v>
      </c>
      <c r="C97" t="s">
        <v>58</v>
      </c>
      <c r="D97" t="s">
        <v>46</v>
      </c>
      <c r="E97" t="s">
        <v>21</v>
      </c>
      <c r="F97" t="s">
        <v>84</v>
      </c>
      <c r="G97" t="s">
        <v>66</v>
      </c>
      <c r="H97" s="12">
        <v>1</v>
      </c>
      <c r="I97" t="s">
        <v>41</v>
      </c>
      <c r="J97" s="7">
        <v>210000</v>
      </c>
      <c r="K97" s="7">
        <v>0</v>
      </c>
      <c r="L97" s="7">
        <v>210000</v>
      </c>
      <c r="M97" t="s">
        <v>42</v>
      </c>
      <c r="N97" t="s">
        <v>34</v>
      </c>
      <c r="O97" t="s">
        <v>550</v>
      </c>
      <c r="P97" t="s">
        <v>550</v>
      </c>
      <c r="Q97" t="s">
        <v>48</v>
      </c>
      <c r="R97" t="s">
        <v>94</v>
      </c>
    </row>
    <row r="98" spans="1:18" x14ac:dyDescent="0.35">
      <c r="A98" t="s">
        <v>211</v>
      </c>
      <c r="B98" s="9">
        <v>45960</v>
      </c>
      <c r="C98" t="s">
        <v>37</v>
      </c>
      <c r="D98" t="s">
        <v>30</v>
      </c>
      <c r="E98" t="s">
        <v>90</v>
      </c>
      <c r="F98" t="s">
        <v>54</v>
      </c>
      <c r="G98" t="s">
        <v>47</v>
      </c>
      <c r="H98" s="12">
        <v>1</v>
      </c>
      <c r="I98" t="s">
        <v>32</v>
      </c>
      <c r="J98" s="7">
        <v>175000</v>
      </c>
      <c r="K98" s="7">
        <v>8750</v>
      </c>
      <c r="L98" s="7">
        <v>166250</v>
      </c>
      <c r="M98" t="s">
        <v>78</v>
      </c>
      <c r="N98" t="s">
        <v>56</v>
      </c>
      <c r="O98">
        <v>4</v>
      </c>
      <c r="P98" t="s">
        <v>550</v>
      </c>
      <c r="Q98" t="s">
        <v>48</v>
      </c>
    </row>
    <row r="99" spans="1:18" x14ac:dyDescent="0.35">
      <c r="A99" t="s">
        <v>212</v>
      </c>
      <c r="B99" s="9">
        <v>45929</v>
      </c>
      <c r="C99" t="s">
        <v>37</v>
      </c>
      <c r="D99" t="s">
        <v>30</v>
      </c>
      <c r="E99" t="s">
        <v>103</v>
      </c>
      <c r="F99" t="s">
        <v>549</v>
      </c>
      <c r="G99" t="s">
        <v>23</v>
      </c>
      <c r="H99" s="12">
        <v>4</v>
      </c>
      <c r="I99" t="s">
        <v>41</v>
      </c>
      <c r="J99" s="7">
        <v>640000</v>
      </c>
      <c r="K99" s="7">
        <v>0</v>
      </c>
      <c r="L99" s="7">
        <v>640000</v>
      </c>
      <c r="M99" t="s">
        <v>25</v>
      </c>
      <c r="N99" t="s">
        <v>34</v>
      </c>
      <c r="O99">
        <v>5</v>
      </c>
      <c r="P99" t="s">
        <v>550</v>
      </c>
      <c r="Q99" t="s">
        <v>48</v>
      </c>
      <c r="R99" t="s">
        <v>94</v>
      </c>
    </row>
    <row r="100" spans="1:18" x14ac:dyDescent="0.35">
      <c r="A100" t="s">
        <v>214</v>
      </c>
      <c r="B100" s="9">
        <v>45769</v>
      </c>
      <c r="C100" t="s">
        <v>69</v>
      </c>
      <c r="D100" t="s">
        <v>46</v>
      </c>
      <c r="E100" t="s">
        <v>31</v>
      </c>
      <c r="F100" t="s">
        <v>549</v>
      </c>
      <c r="G100" t="s">
        <v>47</v>
      </c>
      <c r="H100" s="12">
        <v>1</v>
      </c>
      <c r="I100" t="s">
        <v>32</v>
      </c>
      <c r="J100" s="7">
        <v>225000</v>
      </c>
      <c r="K100" s="7">
        <v>0</v>
      </c>
      <c r="L100" s="7">
        <v>225000</v>
      </c>
      <c r="M100" t="s">
        <v>42</v>
      </c>
      <c r="N100" t="s">
        <v>26</v>
      </c>
      <c r="O100">
        <v>5</v>
      </c>
      <c r="P100" t="s">
        <v>85</v>
      </c>
      <c r="Q100" t="s">
        <v>72</v>
      </c>
      <c r="R100" t="s">
        <v>94</v>
      </c>
    </row>
    <row r="101" spans="1:18" x14ac:dyDescent="0.35">
      <c r="A101" t="s">
        <v>215</v>
      </c>
      <c r="B101" s="9">
        <v>45898</v>
      </c>
      <c r="C101" t="s">
        <v>53</v>
      </c>
      <c r="D101" t="s">
        <v>46</v>
      </c>
      <c r="E101" t="s">
        <v>31</v>
      </c>
      <c r="F101" t="s">
        <v>549</v>
      </c>
      <c r="G101" t="s">
        <v>66</v>
      </c>
      <c r="H101" s="12">
        <v>3</v>
      </c>
      <c r="I101" t="s">
        <v>55</v>
      </c>
      <c r="J101" s="7">
        <v>750000</v>
      </c>
      <c r="K101" s="7">
        <v>0</v>
      </c>
      <c r="L101" s="7">
        <v>750000</v>
      </c>
      <c r="M101" t="s">
        <v>550</v>
      </c>
      <c r="N101" t="s">
        <v>34</v>
      </c>
      <c r="O101">
        <v>4</v>
      </c>
      <c r="P101" t="s">
        <v>550</v>
      </c>
      <c r="Q101" t="s">
        <v>27</v>
      </c>
      <c r="R101" t="s">
        <v>49</v>
      </c>
    </row>
    <row r="102" spans="1:18" x14ac:dyDescent="0.35">
      <c r="A102" t="s">
        <v>216</v>
      </c>
      <c r="B102" s="9">
        <v>45908</v>
      </c>
      <c r="C102" t="s">
        <v>69</v>
      </c>
      <c r="D102" t="s">
        <v>30</v>
      </c>
      <c r="E102" t="s">
        <v>103</v>
      </c>
      <c r="F102" t="s">
        <v>549</v>
      </c>
      <c r="G102" t="s">
        <v>23</v>
      </c>
      <c r="H102" s="12">
        <v>2</v>
      </c>
      <c r="I102" t="s">
        <v>24</v>
      </c>
      <c r="J102" s="7">
        <v>250000</v>
      </c>
      <c r="K102" s="7">
        <v>25000</v>
      </c>
      <c r="L102" s="7">
        <v>225000</v>
      </c>
      <c r="M102" t="s">
        <v>78</v>
      </c>
      <c r="N102" t="s">
        <v>34</v>
      </c>
      <c r="O102">
        <v>3</v>
      </c>
      <c r="P102" t="s">
        <v>550</v>
      </c>
      <c r="Q102" t="s">
        <v>27</v>
      </c>
      <c r="R102" t="s">
        <v>35</v>
      </c>
    </row>
    <row r="103" spans="1:18" x14ac:dyDescent="0.35">
      <c r="A103" t="s">
        <v>217</v>
      </c>
      <c r="B103" s="9">
        <v>45688</v>
      </c>
      <c r="C103" t="s">
        <v>45</v>
      </c>
      <c r="D103" t="s">
        <v>80</v>
      </c>
      <c r="E103" t="s">
        <v>99</v>
      </c>
      <c r="F103" t="s">
        <v>54</v>
      </c>
      <c r="G103" t="s">
        <v>47</v>
      </c>
      <c r="H103" s="12">
        <v>2</v>
      </c>
      <c r="I103" t="s">
        <v>24</v>
      </c>
      <c r="J103" s="7">
        <v>380000</v>
      </c>
      <c r="K103" s="7">
        <v>0</v>
      </c>
      <c r="L103" s="7">
        <v>380000</v>
      </c>
      <c r="M103" t="s">
        <v>550</v>
      </c>
      <c r="N103" t="s">
        <v>56</v>
      </c>
      <c r="O103">
        <v>5</v>
      </c>
      <c r="P103" t="s">
        <v>550</v>
      </c>
      <c r="Q103" t="s">
        <v>60</v>
      </c>
      <c r="R103" t="s">
        <v>94</v>
      </c>
    </row>
    <row r="104" spans="1:18" x14ac:dyDescent="0.35">
      <c r="A104" t="s">
        <v>219</v>
      </c>
      <c r="B104" s="9">
        <v>45975</v>
      </c>
      <c r="C104" t="s">
        <v>45</v>
      </c>
      <c r="D104" t="s">
        <v>59</v>
      </c>
      <c r="E104" t="s">
        <v>31</v>
      </c>
      <c r="F104" t="s">
        <v>549</v>
      </c>
      <c r="G104" t="s">
        <v>66</v>
      </c>
      <c r="H104" s="12">
        <v>2</v>
      </c>
      <c r="I104" t="s">
        <v>55</v>
      </c>
      <c r="J104" s="7">
        <v>430000</v>
      </c>
      <c r="K104" s="7">
        <v>64500</v>
      </c>
      <c r="L104" s="7">
        <v>365500</v>
      </c>
      <c r="M104" t="s">
        <v>78</v>
      </c>
      <c r="N104" t="s">
        <v>34</v>
      </c>
      <c r="O104">
        <v>4</v>
      </c>
      <c r="P104" t="s">
        <v>550</v>
      </c>
      <c r="Q104" t="s">
        <v>60</v>
      </c>
    </row>
    <row r="105" spans="1:18" x14ac:dyDescent="0.35">
      <c r="A105" t="s">
        <v>220</v>
      </c>
      <c r="B105" s="9">
        <v>45700</v>
      </c>
      <c r="C105" t="s">
        <v>69</v>
      </c>
      <c r="D105" t="s">
        <v>30</v>
      </c>
      <c r="E105" t="s">
        <v>21</v>
      </c>
      <c r="F105" t="s">
        <v>549</v>
      </c>
      <c r="G105" t="s">
        <v>71</v>
      </c>
      <c r="H105" s="12">
        <v>1</v>
      </c>
      <c r="I105" t="s">
        <v>55</v>
      </c>
      <c r="J105" s="7">
        <v>200000</v>
      </c>
      <c r="K105" s="7">
        <v>0</v>
      </c>
      <c r="L105" s="7">
        <v>200000</v>
      </c>
      <c r="M105" t="s">
        <v>25</v>
      </c>
      <c r="N105" t="s">
        <v>56</v>
      </c>
      <c r="O105" t="s">
        <v>550</v>
      </c>
      <c r="P105" t="s">
        <v>550</v>
      </c>
      <c r="Q105" t="s">
        <v>27</v>
      </c>
      <c r="R105" t="s">
        <v>94</v>
      </c>
    </row>
    <row r="106" spans="1:18" x14ac:dyDescent="0.35">
      <c r="A106" t="s">
        <v>223</v>
      </c>
      <c r="B106" s="9">
        <v>45666</v>
      </c>
      <c r="C106" t="s">
        <v>37</v>
      </c>
      <c r="D106" t="s">
        <v>80</v>
      </c>
      <c r="E106" t="s">
        <v>103</v>
      </c>
      <c r="F106" t="s">
        <v>54</v>
      </c>
      <c r="G106" t="s">
        <v>47</v>
      </c>
      <c r="H106" s="12">
        <v>4</v>
      </c>
      <c r="I106" t="s">
        <v>32</v>
      </c>
      <c r="J106" s="7">
        <v>960000</v>
      </c>
      <c r="K106" s="7">
        <v>144000</v>
      </c>
      <c r="L106" s="7">
        <v>816000</v>
      </c>
      <c r="M106" t="s">
        <v>42</v>
      </c>
      <c r="N106" t="s">
        <v>56</v>
      </c>
      <c r="O106">
        <v>5</v>
      </c>
      <c r="P106" t="s">
        <v>550</v>
      </c>
      <c r="Q106" t="s">
        <v>48</v>
      </c>
    </row>
    <row r="107" spans="1:18" x14ac:dyDescent="0.35">
      <c r="A107" t="s">
        <v>225</v>
      </c>
      <c r="B107" s="9">
        <v>45972</v>
      </c>
      <c r="C107" t="s">
        <v>45</v>
      </c>
      <c r="D107" t="s">
        <v>30</v>
      </c>
      <c r="E107" t="s">
        <v>31</v>
      </c>
      <c r="F107" t="s">
        <v>84</v>
      </c>
      <c r="G107" t="s">
        <v>40</v>
      </c>
      <c r="H107" s="12">
        <v>1</v>
      </c>
      <c r="I107" t="s">
        <v>41</v>
      </c>
      <c r="J107" s="7">
        <v>160000</v>
      </c>
      <c r="K107" s="7">
        <v>16000</v>
      </c>
      <c r="L107" s="7">
        <v>144000</v>
      </c>
      <c r="M107" t="s">
        <v>78</v>
      </c>
      <c r="N107" t="s">
        <v>34</v>
      </c>
      <c r="O107">
        <v>4</v>
      </c>
      <c r="P107" t="s">
        <v>550</v>
      </c>
      <c r="Q107" t="s">
        <v>60</v>
      </c>
      <c r="R107" t="s">
        <v>96</v>
      </c>
    </row>
    <row r="108" spans="1:18" x14ac:dyDescent="0.35">
      <c r="A108" t="s">
        <v>227</v>
      </c>
      <c r="B108" s="9">
        <v>45857</v>
      </c>
      <c r="C108" t="s">
        <v>53</v>
      </c>
      <c r="D108" t="s">
        <v>59</v>
      </c>
      <c r="E108" t="s">
        <v>38</v>
      </c>
      <c r="F108" t="s">
        <v>84</v>
      </c>
      <c r="G108" t="s">
        <v>47</v>
      </c>
      <c r="H108" s="12">
        <v>4</v>
      </c>
      <c r="I108" t="s">
        <v>41</v>
      </c>
      <c r="J108" s="7">
        <v>700000</v>
      </c>
      <c r="K108" s="7">
        <v>0</v>
      </c>
      <c r="L108" s="7">
        <v>700000</v>
      </c>
      <c r="M108" t="s">
        <v>78</v>
      </c>
      <c r="N108" t="s">
        <v>34</v>
      </c>
      <c r="O108">
        <v>4</v>
      </c>
      <c r="P108" t="s">
        <v>550</v>
      </c>
      <c r="Q108" t="s">
        <v>43</v>
      </c>
    </row>
    <row r="109" spans="1:18" x14ac:dyDescent="0.35">
      <c r="A109" t="s">
        <v>230</v>
      </c>
      <c r="B109" s="9">
        <v>45664</v>
      </c>
      <c r="C109" t="s">
        <v>53</v>
      </c>
      <c r="D109" t="s">
        <v>30</v>
      </c>
      <c r="E109" t="s">
        <v>99</v>
      </c>
      <c r="F109" t="s">
        <v>84</v>
      </c>
      <c r="G109" t="s">
        <v>71</v>
      </c>
      <c r="H109" s="12">
        <v>2</v>
      </c>
      <c r="I109" t="s">
        <v>55</v>
      </c>
      <c r="J109" s="7">
        <v>400000</v>
      </c>
      <c r="K109" s="7">
        <v>60000</v>
      </c>
      <c r="L109" s="7">
        <v>340000</v>
      </c>
      <c r="M109" t="s">
        <v>42</v>
      </c>
      <c r="N109" t="s">
        <v>56</v>
      </c>
      <c r="O109">
        <v>4</v>
      </c>
      <c r="P109" t="s">
        <v>550</v>
      </c>
      <c r="Q109" t="s">
        <v>60</v>
      </c>
    </row>
    <row r="110" spans="1:18" x14ac:dyDescent="0.35">
      <c r="A110" t="s">
        <v>231</v>
      </c>
      <c r="B110" s="9">
        <v>45978</v>
      </c>
      <c r="C110" t="s">
        <v>69</v>
      </c>
      <c r="D110" t="s">
        <v>80</v>
      </c>
      <c r="E110" t="s">
        <v>90</v>
      </c>
      <c r="F110" t="s">
        <v>39</v>
      </c>
      <c r="G110" t="s">
        <v>66</v>
      </c>
      <c r="H110" s="12">
        <v>2</v>
      </c>
      <c r="I110" t="s">
        <v>41</v>
      </c>
      <c r="J110" s="7">
        <v>450000</v>
      </c>
      <c r="K110" s="7">
        <v>45000</v>
      </c>
      <c r="L110" s="7">
        <v>405000</v>
      </c>
      <c r="M110" t="s">
        <v>33</v>
      </c>
      <c r="N110" t="s">
        <v>34</v>
      </c>
      <c r="O110">
        <v>4</v>
      </c>
      <c r="P110" t="s">
        <v>550</v>
      </c>
      <c r="Q110" t="s">
        <v>60</v>
      </c>
      <c r="R110" t="s">
        <v>35</v>
      </c>
    </row>
    <row r="111" spans="1:18" x14ac:dyDescent="0.35">
      <c r="A111" t="s">
        <v>232</v>
      </c>
      <c r="B111" s="9">
        <v>45861</v>
      </c>
      <c r="C111" t="s">
        <v>53</v>
      </c>
      <c r="D111" t="s">
        <v>59</v>
      </c>
      <c r="E111" t="s">
        <v>21</v>
      </c>
      <c r="F111" t="s">
        <v>54</v>
      </c>
      <c r="G111" t="s">
        <v>71</v>
      </c>
      <c r="H111" s="12">
        <v>1</v>
      </c>
      <c r="I111" t="s">
        <v>32</v>
      </c>
      <c r="J111" s="7">
        <v>190000</v>
      </c>
      <c r="K111" s="7">
        <v>0</v>
      </c>
      <c r="L111" s="7">
        <v>190000</v>
      </c>
      <c r="M111" t="s">
        <v>33</v>
      </c>
      <c r="N111" t="s">
        <v>34</v>
      </c>
      <c r="O111">
        <v>3</v>
      </c>
      <c r="P111" t="s">
        <v>550</v>
      </c>
      <c r="Q111" t="s">
        <v>72</v>
      </c>
      <c r="R111" t="s">
        <v>49</v>
      </c>
    </row>
    <row r="112" spans="1:18" x14ac:dyDescent="0.35">
      <c r="A112" t="s">
        <v>233</v>
      </c>
      <c r="B112" s="9">
        <v>45867</v>
      </c>
      <c r="C112" t="s">
        <v>69</v>
      </c>
      <c r="D112" t="s">
        <v>46</v>
      </c>
      <c r="E112" t="s">
        <v>21</v>
      </c>
      <c r="F112" t="s">
        <v>549</v>
      </c>
      <c r="G112" t="s">
        <v>23</v>
      </c>
      <c r="H112" s="12">
        <v>2</v>
      </c>
      <c r="I112" t="s">
        <v>32</v>
      </c>
      <c r="J112" s="7">
        <v>450000</v>
      </c>
      <c r="K112" s="7">
        <v>0</v>
      </c>
      <c r="L112" s="7">
        <v>450000</v>
      </c>
      <c r="M112" t="s">
        <v>42</v>
      </c>
      <c r="N112" t="s">
        <v>26</v>
      </c>
      <c r="O112">
        <v>4</v>
      </c>
      <c r="P112" t="s">
        <v>85</v>
      </c>
      <c r="Q112" t="s">
        <v>72</v>
      </c>
      <c r="R112" t="s">
        <v>96</v>
      </c>
    </row>
    <row r="113" spans="1:18" x14ac:dyDescent="0.35">
      <c r="A113" t="s">
        <v>234</v>
      </c>
      <c r="B113" s="9">
        <v>45713</v>
      </c>
      <c r="C113" t="s">
        <v>37</v>
      </c>
      <c r="D113" t="s">
        <v>59</v>
      </c>
      <c r="E113" t="s">
        <v>103</v>
      </c>
      <c r="F113" t="s">
        <v>112</v>
      </c>
      <c r="G113" t="s">
        <v>47</v>
      </c>
      <c r="H113" s="12">
        <v>4</v>
      </c>
      <c r="I113" t="s">
        <v>32</v>
      </c>
      <c r="J113" s="7">
        <v>760000</v>
      </c>
      <c r="K113" s="7">
        <v>0</v>
      </c>
      <c r="L113" s="7">
        <v>760000</v>
      </c>
      <c r="M113" t="s">
        <v>78</v>
      </c>
      <c r="N113" t="s">
        <v>34</v>
      </c>
      <c r="O113">
        <v>3</v>
      </c>
      <c r="P113" t="s">
        <v>550</v>
      </c>
      <c r="Q113" t="s">
        <v>27</v>
      </c>
    </row>
    <row r="114" spans="1:18" x14ac:dyDescent="0.35">
      <c r="A114" t="s">
        <v>235</v>
      </c>
      <c r="B114" s="9">
        <v>45670</v>
      </c>
      <c r="C114" t="s">
        <v>69</v>
      </c>
      <c r="D114" t="s">
        <v>20</v>
      </c>
      <c r="E114" t="s">
        <v>31</v>
      </c>
      <c r="F114" t="s">
        <v>54</v>
      </c>
      <c r="G114" t="s">
        <v>47</v>
      </c>
      <c r="H114" s="12">
        <v>1</v>
      </c>
      <c r="I114" t="s">
        <v>41</v>
      </c>
      <c r="J114" s="7">
        <v>120000</v>
      </c>
      <c r="K114" s="7">
        <v>6000</v>
      </c>
      <c r="L114" s="7">
        <v>114000</v>
      </c>
      <c r="M114" t="s">
        <v>42</v>
      </c>
      <c r="N114" t="s">
        <v>34</v>
      </c>
      <c r="O114" t="s">
        <v>550</v>
      </c>
      <c r="P114" t="s">
        <v>550</v>
      </c>
      <c r="Q114" t="s">
        <v>27</v>
      </c>
    </row>
    <row r="115" spans="1:18" x14ac:dyDescent="0.35">
      <c r="A115" t="s">
        <v>237</v>
      </c>
      <c r="B115" s="9">
        <v>45989</v>
      </c>
      <c r="C115" t="s">
        <v>58</v>
      </c>
      <c r="D115" t="s">
        <v>46</v>
      </c>
      <c r="E115" t="s">
        <v>21</v>
      </c>
      <c r="F115" t="s">
        <v>39</v>
      </c>
      <c r="G115" t="s">
        <v>71</v>
      </c>
      <c r="H115" s="12">
        <v>2</v>
      </c>
      <c r="I115" t="s">
        <v>32</v>
      </c>
      <c r="J115" s="7">
        <v>450000</v>
      </c>
      <c r="K115" s="7">
        <v>22500</v>
      </c>
      <c r="L115" s="7">
        <v>427500</v>
      </c>
      <c r="M115" t="s">
        <v>42</v>
      </c>
      <c r="N115" t="s">
        <v>34</v>
      </c>
      <c r="O115">
        <v>4</v>
      </c>
      <c r="P115" t="s">
        <v>550</v>
      </c>
      <c r="Q115" t="s">
        <v>60</v>
      </c>
      <c r="R115" t="s">
        <v>35</v>
      </c>
    </row>
    <row r="116" spans="1:18" x14ac:dyDescent="0.35">
      <c r="A116" t="s">
        <v>238</v>
      </c>
      <c r="B116" s="9">
        <v>45800</v>
      </c>
      <c r="C116" t="s">
        <v>58</v>
      </c>
      <c r="D116" t="s">
        <v>80</v>
      </c>
      <c r="E116" t="s">
        <v>38</v>
      </c>
      <c r="F116" t="s">
        <v>112</v>
      </c>
      <c r="G116" t="s">
        <v>23</v>
      </c>
      <c r="H116" s="12">
        <v>1</v>
      </c>
      <c r="I116" t="s">
        <v>41</v>
      </c>
      <c r="J116" s="7">
        <v>225000</v>
      </c>
      <c r="K116" s="7">
        <v>33750</v>
      </c>
      <c r="L116" s="7">
        <v>191250</v>
      </c>
      <c r="M116" t="s">
        <v>42</v>
      </c>
      <c r="N116" t="s">
        <v>34</v>
      </c>
      <c r="O116" t="s">
        <v>550</v>
      </c>
      <c r="P116" t="s">
        <v>550</v>
      </c>
      <c r="Q116" t="s">
        <v>27</v>
      </c>
      <c r="R116" t="s">
        <v>96</v>
      </c>
    </row>
    <row r="117" spans="1:18" x14ac:dyDescent="0.35">
      <c r="A117" t="s">
        <v>239</v>
      </c>
      <c r="B117" s="9">
        <v>45972</v>
      </c>
      <c r="C117" t="s">
        <v>45</v>
      </c>
      <c r="D117" t="s">
        <v>20</v>
      </c>
      <c r="E117" t="s">
        <v>21</v>
      </c>
      <c r="F117" t="s">
        <v>39</v>
      </c>
      <c r="G117" t="s">
        <v>40</v>
      </c>
      <c r="H117" s="12">
        <v>1</v>
      </c>
      <c r="I117" t="s">
        <v>41</v>
      </c>
      <c r="J117" s="7">
        <v>120000</v>
      </c>
      <c r="K117" s="7">
        <v>18000</v>
      </c>
      <c r="L117" s="7">
        <v>102000</v>
      </c>
      <c r="M117" t="s">
        <v>33</v>
      </c>
      <c r="N117" t="s">
        <v>34</v>
      </c>
      <c r="O117">
        <v>4</v>
      </c>
      <c r="P117" t="s">
        <v>550</v>
      </c>
      <c r="Q117" t="s">
        <v>27</v>
      </c>
      <c r="R117" t="s">
        <v>49</v>
      </c>
    </row>
    <row r="118" spans="1:18" x14ac:dyDescent="0.35">
      <c r="A118" t="s">
        <v>240</v>
      </c>
      <c r="B118" s="9">
        <v>45729</v>
      </c>
      <c r="C118" t="s">
        <v>37</v>
      </c>
      <c r="D118" t="s">
        <v>59</v>
      </c>
      <c r="E118" t="s">
        <v>99</v>
      </c>
      <c r="F118" t="s">
        <v>112</v>
      </c>
      <c r="G118" t="s">
        <v>47</v>
      </c>
      <c r="H118" s="12">
        <v>1</v>
      </c>
      <c r="I118" t="s">
        <v>55</v>
      </c>
      <c r="J118" s="7">
        <v>215000</v>
      </c>
      <c r="K118" s="7">
        <v>10750</v>
      </c>
      <c r="L118" s="7">
        <v>204250</v>
      </c>
      <c r="M118" t="s">
        <v>25</v>
      </c>
      <c r="N118" t="s">
        <v>34</v>
      </c>
      <c r="O118">
        <v>5</v>
      </c>
      <c r="P118" t="s">
        <v>550</v>
      </c>
      <c r="Q118" t="s">
        <v>60</v>
      </c>
      <c r="R118" t="s">
        <v>49</v>
      </c>
    </row>
    <row r="119" spans="1:18" x14ac:dyDescent="0.35">
      <c r="A119" t="s">
        <v>241</v>
      </c>
      <c r="B119" s="9">
        <v>45933</v>
      </c>
      <c r="C119" t="s">
        <v>53</v>
      </c>
      <c r="D119" t="s">
        <v>46</v>
      </c>
      <c r="E119" t="s">
        <v>99</v>
      </c>
      <c r="F119" t="s">
        <v>112</v>
      </c>
      <c r="G119" t="s">
        <v>66</v>
      </c>
      <c r="H119" s="12">
        <v>1</v>
      </c>
      <c r="I119" t="s">
        <v>41</v>
      </c>
      <c r="J119" s="7">
        <v>210000</v>
      </c>
      <c r="K119" s="7">
        <v>21000</v>
      </c>
      <c r="L119" s="7">
        <v>189000</v>
      </c>
      <c r="M119" t="s">
        <v>25</v>
      </c>
      <c r="N119" t="s">
        <v>56</v>
      </c>
      <c r="O119" t="s">
        <v>550</v>
      </c>
      <c r="P119" t="s">
        <v>550</v>
      </c>
      <c r="Q119" t="s">
        <v>72</v>
      </c>
    </row>
    <row r="120" spans="1:18" x14ac:dyDescent="0.35">
      <c r="A120" t="s">
        <v>242</v>
      </c>
      <c r="B120" s="9">
        <v>45888</v>
      </c>
      <c r="C120" t="s">
        <v>53</v>
      </c>
      <c r="D120" t="s">
        <v>59</v>
      </c>
      <c r="E120" t="s">
        <v>38</v>
      </c>
      <c r="F120" t="s">
        <v>54</v>
      </c>
      <c r="G120" t="s">
        <v>47</v>
      </c>
      <c r="H120" s="12">
        <v>4</v>
      </c>
      <c r="I120" t="s">
        <v>41</v>
      </c>
      <c r="J120" s="7">
        <v>700000</v>
      </c>
      <c r="K120" s="7">
        <v>105000</v>
      </c>
      <c r="L120" s="7">
        <v>595000</v>
      </c>
      <c r="M120" t="s">
        <v>42</v>
      </c>
      <c r="N120" t="s">
        <v>34</v>
      </c>
      <c r="O120">
        <v>5</v>
      </c>
      <c r="P120" t="s">
        <v>550</v>
      </c>
      <c r="Q120" t="s">
        <v>27</v>
      </c>
      <c r="R120" t="s">
        <v>94</v>
      </c>
    </row>
    <row r="121" spans="1:18" x14ac:dyDescent="0.35">
      <c r="A121" t="s">
        <v>243</v>
      </c>
      <c r="B121" s="9">
        <v>45806</v>
      </c>
      <c r="C121" t="s">
        <v>45</v>
      </c>
      <c r="D121" t="s">
        <v>59</v>
      </c>
      <c r="E121" t="s">
        <v>90</v>
      </c>
      <c r="F121" t="s">
        <v>84</v>
      </c>
      <c r="G121" t="s">
        <v>23</v>
      </c>
      <c r="H121" s="12">
        <v>1</v>
      </c>
      <c r="I121" t="s">
        <v>55</v>
      </c>
      <c r="J121" s="7">
        <v>215000</v>
      </c>
      <c r="K121" s="7">
        <v>32250</v>
      </c>
      <c r="L121" s="7">
        <v>182750</v>
      </c>
      <c r="M121" t="s">
        <v>78</v>
      </c>
      <c r="N121" t="s">
        <v>34</v>
      </c>
      <c r="O121" t="s">
        <v>550</v>
      </c>
      <c r="P121" t="s">
        <v>550</v>
      </c>
      <c r="Q121" t="s">
        <v>72</v>
      </c>
    </row>
    <row r="122" spans="1:18" x14ac:dyDescent="0.35">
      <c r="A122" t="s">
        <v>244</v>
      </c>
      <c r="B122" s="9">
        <v>45864</v>
      </c>
      <c r="C122" t="s">
        <v>45</v>
      </c>
      <c r="D122" t="s">
        <v>59</v>
      </c>
      <c r="E122" t="s">
        <v>21</v>
      </c>
      <c r="F122" t="s">
        <v>549</v>
      </c>
      <c r="G122" t="s">
        <v>66</v>
      </c>
      <c r="H122" s="12">
        <v>1</v>
      </c>
      <c r="I122" t="s">
        <v>24</v>
      </c>
      <c r="J122" s="7">
        <v>140000</v>
      </c>
      <c r="K122" s="7">
        <v>21000</v>
      </c>
      <c r="L122" s="7">
        <v>119000</v>
      </c>
      <c r="M122" t="s">
        <v>33</v>
      </c>
      <c r="N122" t="s">
        <v>56</v>
      </c>
      <c r="O122">
        <v>4</v>
      </c>
      <c r="P122" t="s">
        <v>550</v>
      </c>
      <c r="Q122" t="s">
        <v>48</v>
      </c>
      <c r="R122" t="s">
        <v>94</v>
      </c>
    </row>
    <row r="123" spans="1:18" x14ac:dyDescent="0.35">
      <c r="A123" t="s">
        <v>245</v>
      </c>
      <c r="B123" s="9">
        <v>45724</v>
      </c>
      <c r="C123" t="s">
        <v>45</v>
      </c>
      <c r="D123" t="s">
        <v>30</v>
      </c>
      <c r="E123" t="s">
        <v>31</v>
      </c>
      <c r="F123" t="s">
        <v>84</v>
      </c>
      <c r="G123" t="s">
        <v>47</v>
      </c>
      <c r="H123" s="12">
        <v>1</v>
      </c>
      <c r="I123" t="s">
        <v>55</v>
      </c>
      <c r="J123" s="7">
        <v>200000</v>
      </c>
      <c r="K123" s="7">
        <v>10000</v>
      </c>
      <c r="L123" s="7">
        <v>190000</v>
      </c>
      <c r="M123" t="s">
        <v>78</v>
      </c>
      <c r="N123" t="s">
        <v>34</v>
      </c>
      <c r="O123">
        <v>4</v>
      </c>
      <c r="P123" t="s">
        <v>550</v>
      </c>
      <c r="Q123" t="s">
        <v>72</v>
      </c>
    </row>
    <row r="124" spans="1:18" x14ac:dyDescent="0.35">
      <c r="A124" t="s">
        <v>246</v>
      </c>
      <c r="B124" s="9">
        <v>45848</v>
      </c>
      <c r="C124" t="s">
        <v>37</v>
      </c>
      <c r="D124" t="s">
        <v>20</v>
      </c>
      <c r="E124" t="s">
        <v>99</v>
      </c>
      <c r="F124" t="s">
        <v>549</v>
      </c>
      <c r="G124" t="s">
        <v>23</v>
      </c>
      <c r="H124" s="12">
        <v>1</v>
      </c>
      <c r="I124" t="s">
        <v>24</v>
      </c>
      <c r="J124" s="7">
        <v>85000</v>
      </c>
      <c r="K124" s="7">
        <v>0</v>
      </c>
      <c r="L124" s="7">
        <v>85000</v>
      </c>
      <c r="M124" t="s">
        <v>25</v>
      </c>
      <c r="N124" t="s">
        <v>26</v>
      </c>
      <c r="O124">
        <v>4</v>
      </c>
      <c r="P124" t="s">
        <v>551</v>
      </c>
      <c r="Q124" t="s">
        <v>43</v>
      </c>
    </row>
    <row r="125" spans="1:18" x14ac:dyDescent="0.35">
      <c r="A125" t="s">
        <v>248</v>
      </c>
      <c r="B125" s="9">
        <v>45694</v>
      </c>
      <c r="C125" t="s">
        <v>37</v>
      </c>
      <c r="D125" t="s">
        <v>30</v>
      </c>
      <c r="E125" t="s">
        <v>38</v>
      </c>
      <c r="F125" t="s">
        <v>84</v>
      </c>
      <c r="G125" t="s">
        <v>47</v>
      </c>
      <c r="H125" s="12">
        <v>2</v>
      </c>
      <c r="I125" t="s">
        <v>55</v>
      </c>
      <c r="J125" s="7">
        <v>400000</v>
      </c>
      <c r="K125" s="7">
        <v>60000</v>
      </c>
      <c r="L125" s="7">
        <v>340000</v>
      </c>
      <c r="M125" t="s">
        <v>33</v>
      </c>
      <c r="N125" t="s">
        <v>34</v>
      </c>
      <c r="O125">
        <v>5</v>
      </c>
      <c r="P125" t="s">
        <v>550</v>
      </c>
      <c r="Q125" t="s">
        <v>48</v>
      </c>
    </row>
    <row r="126" spans="1:18" x14ac:dyDescent="0.35">
      <c r="A126" t="s">
        <v>249</v>
      </c>
      <c r="B126" s="9">
        <v>46009</v>
      </c>
      <c r="C126" t="s">
        <v>69</v>
      </c>
      <c r="D126" t="s">
        <v>46</v>
      </c>
      <c r="E126" t="s">
        <v>38</v>
      </c>
      <c r="F126" t="s">
        <v>84</v>
      </c>
      <c r="G126" t="s">
        <v>23</v>
      </c>
      <c r="H126" s="12">
        <v>2</v>
      </c>
      <c r="I126" t="s">
        <v>41</v>
      </c>
      <c r="J126" s="7">
        <v>420000</v>
      </c>
      <c r="K126" s="7">
        <v>0</v>
      </c>
      <c r="L126" s="7">
        <v>420000</v>
      </c>
      <c r="M126" t="s">
        <v>78</v>
      </c>
      <c r="N126" t="s">
        <v>34</v>
      </c>
      <c r="O126">
        <v>4</v>
      </c>
      <c r="P126" t="s">
        <v>550</v>
      </c>
      <c r="Q126" t="s">
        <v>60</v>
      </c>
    </row>
    <row r="127" spans="1:18" x14ac:dyDescent="0.35">
      <c r="A127" t="s">
        <v>251</v>
      </c>
      <c r="B127" s="9">
        <v>45923</v>
      </c>
      <c r="C127" t="s">
        <v>45</v>
      </c>
      <c r="D127" t="s">
        <v>80</v>
      </c>
      <c r="E127" t="s">
        <v>103</v>
      </c>
      <c r="F127" t="s">
        <v>54</v>
      </c>
      <c r="G127" t="s">
        <v>40</v>
      </c>
      <c r="H127" s="12">
        <v>2</v>
      </c>
      <c r="I127" t="s">
        <v>24</v>
      </c>
      <c r="J127" s="7">
        <v>380000</v>
      </c>
      <c r="K127" s="7">
        <v>0</v>
      </c>
      <c r="L127" s="7">
        <v>380000</v>
      </c>
      <c r="M127" t="s">
        <v>42</v>
      </c>
      <c r="N127" t="s">
        <v>34</v>
      </c>
      <c r="O127">
        <v>4</v>
      </c>
      <c r="P127" t="s">
        <v>550</v>
      </c>
      <c r="Q127" t="s">
        <v>43</v>
      </c>
      <c r="R127" t="s">
        <v>94</v>
      </c>
    </row>
    <row r="128" spans="1:18" x14ac:dyDescent="0.35">
      <c r="A128" t="s">
        <v>252</v>
      </c>
      <c r="B128" s="9">
        <v>45695</v>
      </c>
      <c r="C128" t="s">
        <v>58</v>
      </c>
      <c r="D128" t="s">
        <v>80</v>
      </c>
      <c r="E128" t="s">
        <v>38</v>
      </c>
      <c r="F128" t="s">
        <v>84</v>
      </c>
      <c r="G128" t="s">
        <v>40</v>
      </c>
      <c r="H128" s="12">
        <v>2</v>
      </c>
      <c r="I128" t="s">
        <v>41</v>
      </c>
      <c r="J128" s="7">
        <v>450000</v>
      </c>
      <c r="K128" s="7">
        <v>67500</v>
      </c>
      <c r="L128" s="7">
        <v>382500</v>
      </c>
      <c r="M128" t="s">
        <v>25</v>
      </c>
      <c r="N128" t="s">
        <v>34</v>
      </c>
      <c r="O128">
        <v>5</v>
      </c>
      <c r="P128" t="s">
        <v>550</v>
      </c>
      <c r="Q128" t="s">
        <v>60</v>
      </c>
      <c r="R128" t="s">
        <v>49</v>
      </c>
    </row>
    <row r="129" spans="1:18" x14ac:dyDescent="0.35">
      <c r="A129" t="s">
        <v>254</v>
      </c>
      <c r="B129" s="9">
        <v>45932</v>
      </c>
      <c r="C129" t="s">
        <v>53</v>
      </c>
      <c r="D129" t="s">
        <v>30</v>
      </c>
      <c r="E129" t="s">
        <v>90</v>
      </c>
      <c r="F129" t="s">
        <v>84</v>
      </c>
      <c r="G129" t="s">
        <v>40</v>
      </c>
      <c r="H129" s="12">
        <v>1</v>
      </c>
      <c r="I129" t="s">
        <v>24</v>
      </c>
      <c r="J129" s="7">
        <v>125000</v>
      </c>
      <c r="K129" s="7">
        <v>6250</v>
      </c>
      <c r="L129" s="7">
        <v>118750</v>
      </c>
      <c r="M129" t="s">
        <v>42</v>
      </c>
      <c r="N129" t="s">
        <v>34</v>
      </c>
      <c r="O129">
        <v>3</v>
      </c>
      <c r="P129" t="s">
        <v>550</v>
      </c>
      <c r="Q129" t="s">
        <v>43</v>
      </c>
      <c r="R129" t="s">
        <v>96</v>
      </c>
    </row>
    <row r="130" spans="1:18" x14ac:dyDescent="0.35">
      <c r="A130" t="s">
        <v>257</v>
      </c>
      <c r="B130" s="9">
        <v>45835</v>
      </c>
      <c r="C130" t="s">
        <v>45</v>
      </c>
      <c r="D130" t="s">
        <v>80</v>
      </c>
      <c r="E130" t="s">
        <v>21</v>
      </c>
      <c r="F130" t="s">
        <v>549</v>
      </c>
      <c r="G130" t="s">
        <v>23</v>
      </c>
      <c r="H130" s="12">
        <v>1</v>
      </c>
      <c r="I130" t="s">
        <v>24</v>
      </c>
      <c r="J130" s="7">
        <v>190000</v>
      </c>
      <c r="K130" s="7">
        <v>0</v>
      </c>
      <c r="L130" s="7">
        <v>190000</v>
      </c>
      <c r="M130" t="s">
        <v>33</v>
      </c>
      <c r="N130" t="s">
        <v>26</v>
      </c>
      <c r="O130" t="s">
        <v>550</v>
      </c>
      <c r="P130" t="s">
        <v>259</v>
      </c>
      <c r="Q130" t="s">
        <v>60</v>
      </c>
    </row>
    <row r="131" spans="1:18" x14ac:dyDescent="0.35">
      <c r="A131" t="s">
        <v>260</v>
      </c>
      <c r="B131" s="9">
        <v>45788</v>
      </c>
      <c r="C131" t="s">
        <v>58</v>
      </c>
      <c r="D131" t="s">
        <v>80</v>
      </c>
      <c r="E131" t="s">
        <v>21</v>
      </c>
      <c r="F131" t="s">
        <v>84</v>
      </c>
      <c r="G131" t="s">
        <v>23</v>
      </c>
      <c r="H131" s="12">
        <v>4</v>
      </c>
      <c r="I131" t="s">
        <v>24</v>
      </c>
      <c r="J131" s="7">
        <v>760000</v>
      </c>
      <c r="K131" s="7">
        <v>0</v>
      </c>
      <c r="L131" s="7">
        <v>760000</v>
      </c>
      <c r="M131" t="s">
        <v>25</v>
      </c>
      <c r="N131" t="s">
        <v>34</v>
      </c>
      <c r="O131">
        <v>3</v>
      </c>
      <c r="P131" t="s">
        <v>550</v>
      </c>
      <c r="Q131" t="s">
        <v>27</v>
      </c>
      <c r="R131" t="s">
        <v>96</v>
      </c>
    </row>
    <row r="132" spans="1:18" x14ac:dyDescent="0.35">
      <c r="A132" t="s">
        <v>261</v>
      </c>
      <c r="B132" s="9">
        <v>45796</v>
      </c>
      <c r="C132" t="s">
        <v>58</v>
      </c>
      <c r="D132" t="s">
        <v>80</v>
      </c>
      <c r="E132" t="s">
        <v>31</v>
      </c>
      <c r="F132" t="s">
        <v>84</v>
      </c>
      <c r="G132" t="s">
        <v>71</v>
      </c>
      <c r="H132" s="12">
        <v>1</v>
      </c>
      <c r="I132" t="s">
        <v>24</v>
      </c>
      <c r="J132" s="7">
        <v>190000</v>
      </c>
      <c r="K132" s="7">
        <v>9500</v>
      </c>
      <c r="L132" s="7">
        <v>180500</v>
      </c>
      <c r="M132" t="s">
        <v>25</v>
      </c>
      <c r="N132" t="s">
        <v>34</v>
      </c>
      <c r="O132">
        <v>3</v>
      </c>
      <c r="P132" t="s">
        <v>550</v>
      </c>
      <c r="Q132" t="s">
        <v>60</v>
      </c>
      <c r="R132" t="s">
        <v>96</v>
      </c>
    </row>
    <row r="133" spans="1:18" x14ac:dyDescent="0.35">
      <c r="A133" t="s">
        <v>262</v>
      </c>
      <c r="B133" s="9">
        <v>45895</v>
      </c>
      <c r="C133" t="s">
        <v>53</v>
      </c>
      <c r="D133" t="s">
        <v>80</v>
      </c>
      <c r="E133" t="s">
        <v>99</v>
      </c>
      <c r="F133" t="s">
        <v>39</v>
      </c>
      <c r="G133" t="s">
        <v>71</v>
      </c>
      <c r="H133" s="12">
        <v>1</v>
      </c>
      <c r="I133" t="s">
        <v>32</v>
      </c>
      <c r="J133" s="7">
        <v>240000</v>
      </c>
      <c r="K133" s="7">
        <v>0</v>
      </c>
      <c r="L133" s="7">
        <v>240000</v>
      </c>
      <c r="M133" t="s">
        <v>42</v>
      </c>
      <c r="N133" t="s">
        <v>34</v>
      </c>
      <c r="O133">
        <v>4</v>
      </c>
      <c r="P133" t="s">
        <v>550</v>
      </c>
      <c r="Q133" t="s">
        <v>60</v>
      </c>
      <c r="R133" t="s">
        <v>49</v>
      </c>
    </row>
    <row r="134" spans="1:18" x14ac:dyDescent="0.35">
      <c r="A134" t="s">
        <v>263</v>
      </c>
      <c r="B134" s="9">
        <v>45872</v>
      </c>
      <c r="C134" t="s">
        <v>69</v>
      </c>
      <c r="D134" t="s">
        <v>20</v>
      </c>
      <c r="E134" t="s">
        <v>103</v>
      </c>
      <c r="F134" t="s">
        <v>549</v>
      </c>
      <c r="G134" t="s">
        <v>47</v>
      </c>
      <c r="H134" s="12">
        <v>4</v>
      </c>
      <c r="I134" t="s">
        <v>32</v>
      </c>
      <c r="J134" s="7">
        <v>540000</v>
      </c>
      <c r="K134" s="7">
        <v>81000</v>
      </c>
      <c r="L134" s="7">
        <v>459000</v>
      </c>
      <c r="M134" t="s">
        <v>550</v>
      </c>
      <c r="N134" t="s">
        <v>34</v>
      </c>
      <c r="O134">
        <v>4</v>
      </c>
      <c r="P134" t="s">
        <v>550</v>
      </c>
      <c r="Q134" t="s">
        <v>27</v>
      </c>
      <c r="R134" t="s">
        <v>96</v>
      </c>
    </row>
    <row r="135" spans="1:18" x14ac:dyDescent="0.35">
      <c r="A135" t="s">
        <v>264</v>
      </c>
      <c r="B135" s="9">
        <v>45819</v>
      </c>
      <c r="C135" t="s">
        <v>69</v>
      </c>
      <c r="D135" t="s">
        <v>59</v>
      </c>
      <c r="E135" t="s">
        <v>31</v>
      </c>
      <c r="F135" t="s">
        <v>54</v>
      </c>
      <c r="G135" t="s">
        <v>40</v>
      </c>
      <c r="H135" s="12">
        <v>4</v>
      </c>
      <c r="I135" t="s">
        <v>24</v>
      </c>
      <c r="J135" s="7">
        <v>560000</v>
      </c>
      <c r="K135" s="7">
        <v>0</v>
      </c>
      <c r="L135" s="7">
        <v>560000</v>
      </c>
      <c r="M135" t="s">
        <v>42</v>
      </c>
      <c r="N135" t="s">
        <v>34</v>
      </c>
      <c r="O135">
        <v>3</v>
      </c>
      <c r="P135" t="s">
        <v>550</v>
      </c>
      <c r="Q135" t="s">
        <v>27</v>
      </c>
    </row>
    <row r="136" spans="1:18" x14ac:dyDescent="0.35">
      <c r="A136" t="s">
        <v>265</v>
      </c>
      <c r="B136" s="9">
        <v>46018</v>
      </c>
      <c r="C136" t="s">
        <v>45</v>
      </c>
      <c r="D136" t="s">
        <v>20</v>
      </c>
      <c r="E136" t="s">
        <v>103</v>
      </c>
      <c r="F136" t="s">
        <v>549</v>
      </c>
      <c r="G136" t="s">
        <v>23</v>
      </c>
      <c r="H136" s="12">
        <v>2</v>
      </c>
      <c r="I136" t="s">
        <v>24</v>
      </c>
      <c r="J136" s="7">
        <v>170000</v>
      </c>
      <c r="K136" s="7">
        <v>25500</v>
      </c>
      <c r="L136" s="7">
        <v>144500</v>
      </c>
      <c r="M136" t="s">
        <v>42</v>
      </c>
      <c r="N136" t="s">
        <v>34</v>
      </c>
      <c r="O136">
        <v>4</v>
      </c>
      <c r="P136" t="s">
        <v>550</v>
      </c>
      <c r="Q136" t="s">
        <v>72</v>
      </c>
    </row>
    <row r="137" spans="1:18" x14ac:dyDescent="0.35">
      <c r="A137" t="s">
        <v>267</v>
      </c>
      <c r="B137" s="9">
        <v>45664</v>
      </c>
      <c r="C137" t="s">
        <v>58</v>
      </c>
      <c r="D137" t="s">
        <v>46</v>
      </c>
      <c r="E137" t="s">
        <v>103</v>
      </c>
      <c r="F137" t="s">
        <v>39</v>
      </c>
      <c r="G137" t="s">
        <v>66</v>
      </c>
      <c r="H137" s="12">
        <v>2</v>
      </c>
      <c r="I137" t="s">
        <v>41</v>
      </c>
      <c r="J137" s="7">
        <v>420000</v>
      </c>
      <c r="K137" s="7">
        <v>0</v>
      </c>
      <c r="L137" s="7">
        <v>420000</v>
      </c>
      <c r="M137" t="s">
        <v>25</v>
      </c>
      <c r="N137" t="s">
        <v>56</v>
      </c>
      <c r="O137">
        <v>3</v>
      </c>
      <c r="P137" t="s">
        <v>550</v>
      </c>
      <c r="Q137" t="s">
        <v>48</v>
      </c>
    </row>
    <row r="138" spans="1:18" x14ac:dyDescent="0.35">
      <c r="A138" t="s">
        <v>268</v>
      </c>
      <c r="B138" s="9">
        <v>45879</v>
      </c>
      <c r="C138" t="s">
        <v>69</v>
      </c>
      <c r="D138" t="s">
        <v>30</v>
      </c>
      <c r="E138" t="s">
        <v>38</v>
      </c>
      <c r="F138" t="s">
        <v>54</v>
      </c>
      <c r="G138" t="s">
        <v>66</v>
      </c>
      <c r="H138" s="12">
        <v>1</v>
      </c>
      <c r="I138" t="s">
        <v>41</v>
      </c>
      <c r="J138" s="7">
        <v>160000</v>
      </c>
      <c r="K138" s="7">
        <v>8000</v>
      </c>
      <c r="L138" s="7">
        <v>152000</v>
      </c>
      <c r="M138" t="s">
        <v>42</v>
      </c>
      <c r="N138" t="s">
        <v>34</v>
      </c>
      <c r="O138">
        <v>4</v>
      </c>
      <c r="P138" t="s">
        <v>550</v>
      </c>
      <c r="Q138" t="s">
        <v>48</v>
      </c>
    </row>
    <row r="139" spans="1:18" x14ac:dyDescent="0.35">
      <c r="A139" t="s">
        <v>270</v>
      </c>
      <c r="B139" s="9">
        <v>45785</v>
      </c>
      <c r="C139" t="s">
        <v>45</v>
      </c>
      <c r="D139" t="s">
        <v>20</v>
      </c>
      <c r="E139" t="s">
        <v>99</v>
      </c>
      <c r="F139" t="s">
        <v>549</v>
      </c>
      <c r="G139" t="s">
        <v>66</v>
      </c>
      <c r="H139" s="12">
        <v>2</v>
      </c>
      <c r="I139" t="s">
        <v>41</v>
      </c>
      <c r="J139" s="7">
        <v>240000</v>
      </c>
      <c r="K139" s="7">
        <v>12000</v>
      </c>
      <c r="L139" s="7">
        <v>228000</v>
      </c>
      <c r="M139" t="s">
        <v>78</v>
      </c>
      <c r="N139" t="s">
        <v>34</v>
      </c>
      <c r="O139">
        <v>4</v>
      </c>
      <c r="P139" t="s">
        <v>550</v>
      </c>
      <c r="Q139" t="s">
        <v>48</v>
      </c>
    </row>
    <row r="140" spans="1:18" x14ac:dyDescent="0.35">
      <c r="A140" t="s">
        <v>271</v>
      </c>
      <c r="B140" s="9">
        <v>45777</v>
      </c>
      <c r="C140" t="s">
        <v>37</v>
      </c>
      <c r="D140" t="s">
        <v>20</v>
      </c>
      <c r="E140" t="s">
        <v>103</v>
      </c>
      <c r="F140" t="s">
        <v>39</v>
      </c>
      <c r="G140" t="s">
        <v>40</v>
      </c>
      <c r="H140" s="12">
        <v>2</v>
      </c>
      <c r="I140" t="s">
        <v>32</v>
      </c>
      <c r="J140" s="7">
        <v>270000</v>
      </c>
      <c r="K140" s="7">
        <v>0</v>
      </c>
      <c r="L140" s="7">
        <v>270000</v>
      </c>
      <c r="M140" t="s">
        <v>25</v>
      </c>
      <c r="N140" t="s">
        <v>34</v>
      </c>
      <c r="O140" t="s">
        <v>550</v>
      </c>
      <c r="P140" t="s">
        <v>550</v>
      </c>
      <c r="Q140" t="s">
        <v>60</v>
      </c>
      <c r="R140" t="s">
        <v>35</v>
      </c>
    </row>
    <row r="141" spans="1:18" x14ac:dyDescent="0.35">
      <c r="A141" t="s">
        <v>272</v>
      </c>
      <c r="B141" s="9">
        <v>45910</v>
      </c>
      <c r="C141" t="s">
        <v>45</v>
      </c>
      <c r="D141" t="s">
        <v>59</v>
      </c>
      <c r="E141" t="s">
        <v>103</v>
      </c>
      <c r="F141" t="s">
        <v>54</v>
      </c>
      <c r="G141" t="s">
        <v>47</v>
      </c>
      <c r="H141" s="12">
        <v>1</v>
      </c>
      <c r="I141" t="s">
        <v>24</v>
      </c>
      <c r="J141" s="7">
        <v>140000</v>
      </c>
      <c r="K141" s="7">
        <v>14000</v>
      </c>
      <c r="L141" s="7">
        <v>126000</v>
      </c>
      <c r="M141" t="s">
        <v>42</v>
      </c>
      <c r="N141" t="s">
        <v>56</v>
      </c>
      <c r="O141">
        <v>4</v>
      </c>
      <c r="P141" t="s">
        <v>550</v>
      </c>
      <c r="Q141" t="s">
        <v>60</v>
      </c>
    </row>
    <row r="142" spans="1:18" x14ac:dyDescent="0.35">
      <c r="A142" t="s">
        <v>274</v>
      </c>
      <c r="B142" s="9">
        <v>45714</v>
      </c>
      <c r="C142" t="s">
        <v>45</v>
      </c>
      <c r="D142" t="s">
        <v>59</v>
      </c>
      <c r="E142" t="s">
        <v>38</v>
      </c>
      <c r="F142" t="s">
        <v>549</v>
      </c>
      <c r="G142" t="s">
        <v>66</v>
      </c>
      <c r="H142" s="12">
        <v>1</v>
      </c>
      <c r="I142" t="s">
        <v>55</v>
      </c>
      <c r="J142" s="7">
        <v>215000</v>
      </c>
      <c r="K142" s="7">
        <v>0</v>
      </c>
      <c r="L142" s="7">
        <v>215000</v>
      </c>
      <c r="M142" t="s">
        <v>33</v>
      </c>
      <c r="N142" t="s">
        <v>34</v>
      </c>
      <c r="O142">
        <v>5</v>
      </c>
      <c r="P142" t="s">
        <v>550</v>
      </c>
      <c r="Q142" t="s">
        <v>60</v>
      </c>
      <c r="R142" t="s">
        <v>96</v>
      </c>
    </row>
    <row r="143" spans="1:18" x14ac:dyDescent="0.35">
      <c r="A143" t="s">
        <v>275</v>
      </c>
      <c r="B143" s="9">
        <v>45851</v>
      </c>
      <c r="C143" t="s">
        <v>53</v>
      </c>
      <c r="D143" t="s">
        <v>59</v>
      </c>
      <c r="E143" t="s">
        <v>103</v>
      </c>
      <c r="F143" t="s">
        <v>39</v>
      </c>
      <c r="G143" t="s">
        <v>47</v>
      </c>
      <c r="H143" s="12">
        <v>1</v>
      </c>
      <c r="I143" t="s">
        <v>55</v>
      </c>
      <c r="J143" s="7">
        <v>215000</v>
      </c>
      <c r="K143" s="7">
        <v>21500</v>
      </c>
      <c r="L143" s="7">
        <v>193500</v>
      </c>
      <c r="M143" t="s">
        <v>78</v>
      </c>
      <c r="N143" t="s">
        <v>56</v>
      </c>
      <c r="O143">
        <v>4</v>
      </c>
      <c r="P143" t="s">
        <v>550</v>
      </c>
      <c r="Q143" t="s">
        <v>72</v>
      </c>
      <c r="R143" t="s">
        <v>35</v>
      </c>
    </row>
    <row r="144" spans="1:18" x14ac:dyDescent="0.35">
      <c r="A144" t="s">
        <v>276</v>
      </c>
      <c r="B144" s="9">
        <v>46020</v>
      </c>
      <c r="C144" t="s">
        <v>53</v>
      </c>
      <c r="D144" t="s">
        <v>30</v>
      </c>
      <c r="E144" t="s">
        <v>38</v>
      </c>
      <c r="F144" t="s">
        <v>549</v>
      </c>
      <c r="G144" t="s">
        <v>23</v>
      </c>
      <c r="H144" s="12">
        <v>1</v>
      </c>
      <c r="I144" t="s">
        <v>24</v>
      </c>
      <c r="J144" s="7">
        <v>125000</v>
      </c>
      <c r="K144" s="7">
        <v>18750</v>
      </c>
      <c r="L144" s="7">
        <v>106250</v>
      </c>
      <c r="M144" t="s">
        <v>25</v>
      </c>
      <c r="N144" t="s">
        <v>34</v>
      </c>
      <c r="O144">
        <v>3</v>
      </c>
      <c r="P144" t="s">
        <v>550</v>
      </c>
      <c r="Q144" t="s">
        <v>60</v>
      </c>
    </row>
    <row r="145" spans="1:18" x14ac:dyDescent="0.35">
      <c r="A145" t="s">
        <v>277</v>
      </c>
      <c r="B145" s="9">
        <v>45741</v>
      </c>
      <c r="C145" t="s">
        <v>69</v>
      </c>
      <c r="D145" t="s">
        <v>20</v>
      </c>
      <c r="E145" t="s">
        <v>38</v>
      </c>
      <c r="F145" t="s">
        <v>549</v>
      </c>
      <c r="G145" t="s">
        <v>47</v>
      </c>
      <c r="H145" s="12">
        <v>1</v>
      </c>
      <c r="I145" t="s">
        <v>55</v>
      </c>
      <c r="J145" s="7">
        <v>160000</v>
      </c>
      <c r="K145" s="7">
        <v>8000</v>
      </c>
      <c r="L145" s="7">
        <v>152000</v>
      </c>
      <c r="M145" t="s">
        <v>25</v>
      </c>
      <c r="N145" t="s">
        <v>34</v>
      </c>
      <c r="O145">
        <v>4</v>
      </c>
      <c r="P145" t="s">
        <v>550</v>
      </c>
      <c r="Q145" t="s">
        <v>60</v>
      </c>
      <c r="R145" t="s">
        <v>94</v>
      </c>
    </row>
    <row r="146" spans="1:18" x14ac:dyDescent="0.35">
      <c r="A146" t="s">
        <v>278</v>
      </c>
      <c r="B146" s="9">
        <v>45968</v>
      </c>
      <c r="C146" t="s">
        <v>69</v>
      </c>
      <c r="D146" t="s">
        <v>46</v>
      </c>
      <c r="E146" t="s">
        <v>38</v>
      </c>
      <c r="F146" t="s">
        <v>84</v>
      </c>
      <c r="G146" t="s">
        <v>40</v>
      </c>
      <c r="H146" s="12">
        <v>3</v>
      </c>
      <c r="I146" t="s">
        <v>41</v>
      </c>
      <c r="J146" s="7">
        <v>630000</v>
      </c>
      <c r="K146" s="7">
        <v>94500</v>
      </c>
      <c r="L146" s="7">
        <v>535500</v>
      </c>
      <c r="M146" t="s">
        <v>42</v>
      </c>
      <c r="N146" t="s">
        <v>34</v>
      </c>
      <c r="O146">
        <v>4</v>
      </c>
      <c r="P146" t="s">
        <v>550</v>
      </c>
      <c r="Q146" t="s">
        <v>48</v>
      </c>
    </row>
    <row r="147" spans="1:18" x14ac:dyDescent="0.35">
      <c r="A147" t="s">
        <v>279</v>
      </c>
      <c r="B147" s="9">
        <v>45903</v>
      </c>
      <c r="C147" t="s">
        <v>37</v>
      </c>
      <c r="D147" t="s">
        <v>20</v>
      </c>
      <c r="E147" t="s">
        <v>38</v>
      </c>
      <c r="F147" t="s">
        <v>39</v>
      </c>
      <c r="G147" t="s">
        <v>23</v>
      </c>
      <c r="H147" s="12">
        <v>4</v>
      </c>
      <c r="I147" t="s">
        <v>24</v>
      </c>
      <c r="J147" s="7">
        <v>340000</v>
      </c>
      <c r="K147" s="7">
        <v>0</v>
      </c>
      <c r="L147" s="7">
        <v>340000</v>
      </c>
      <c r="M147" t="s">
        <v>25</v>
      </c>
      <c r="N147" t="s">
        <v>34</v>
      </c>
      <c r="O147" t="s">
        <v>550</v>
      </c>
      <c r="P147" t="s">
        <v>550</v>
      </c>
      <c r="Q147" t="s">
        <v>27</v>
      </c>
      <c r="R147" t="s">
        <v>96</v>
      </c>
    </row>
    <row r="148" spans="1:18" x14ac:dyDescent="0.35">
      <c r="A148" t="s">
        <v>280</v>
      </c>
      <c r="B148" s="9">
        <v>45773</v>
      </c>
      <c r="C148" t="s">
        <v>53</v>
      </c>
      <c r="D148" t="s">
        <v>80</v>
      </c>
      <c r="E148" t="s">
        <v>38</v>
      </c>
      <c r="F148" t="s">
        <v>39</v>
      </c>
      <c r="G148" t="s">
        <v>47</v>
      </c>
      <c r="H148" s="12">
        <v>2</v>
      </c>
      <c r="I148" t="s">
        <v>55</v>
      </c>
      <c r="J148" s="7">
        <v>530000</v>
      </c>
      <c r="K148" s="7">
        <v>53000</v>
      </c>
      <c r="L148" s="7">
        <v>477000</v>
      </c>
      <c r="M148" t="s">
        <v>33</v>
      </c>
      <c r="N148" t="s">
        <v>56</v>
      </c>
      <c r="O148">
        <v>3</v>
      </c>
      <c r="P148" t="s">
        <v>550</v>
      </c>
      <c r="Q148" t="s">
        <v>72</v>
      </c>
      <c r="R148" t="s">
        <v>35</v>
      </c>
    </row>
    <row r="149" spans="1:18" x14ac:dyDescent="0.35">
      <c r="A149" t="s">
        <v>281</v>
      </c>
      <c r="B149" s="9">
        <v>45915</v>
      </c>
      <c r="C149" t="s">
        <v>45</v>
      </c>
      <c r="D149" t="s">
        <v>80</v>
      </c>
      <c r="E149" t="s">
        <v>90</v>
      </c>
      <c r="F149" t="s">
        <v>112</v>
      </c>
      <c r="G149" t="s">
        <v>23</v>
      </c>
      <c r="H149" s="12">
        <v>1</v>
      </c>
      <c r="I149" t="s">
        <v>55</v>
      </c>
      <c r="J149" s="7">
        <v>265000</v>
      </c>
      <c r="K149" s="7">
        <v>0</v>
      </c>
      <c r="L149" s="7">
        <v>265000</v>
      </c>
      <c r="M149" t="s">
        <v>78</v>
      </c>
      <c r="N149" t="s">
        <v>34</v>
      </c>
      <c r="O149">
        <v>4</v>
      </c>
      <c r="P149" t="s">
        <v>550</v>
      </c>
      <c r="Q149" t="s">
        <v>43</v>
      </c>
    </row>
    <row r="150" spans="1:18" x14ac:dyDescent="0.35">
      <c r="A150" t="s">
        <v>282</v>
      </c>
      <c r="B150" s="9">
        <v>45942</v>
      </c>
      <c r="C150" t="s">
        <v>69</v>
      </c>
      <c r="D150" t="s">
        <v>80</v>
      </c>
      <c r="E150" t="s">
        <v>31</v>
      </c>
      <c r="F150" t="s">
        <v>549</v>
      </c>
      <c r="G150" t="s">
        <v>71</v>
      </c>
      <c r="H150" s="12">
        <v>2</v>
      </c>
      <c r="I150" t="s">
        <v>32</v>
      </c>
      <c r="J150" s="7">
        <v>480000</v>
      </c>
      <c r="K150" s="7">
        <v>0</v>
      </c>
      <c r="L150" s="7">
        <v>480000</v>
      </c>
      <c r="M150" t="s">
        <v>25</v>
      </c>
      <c r="N150" t="s">
        <v>26</v>
      </c>
      <c r="O150">
        <v>4</v>
      </c>
      <c r="P150" t="s">
        <v>551</v>
      </c>
      <c r="Q150" t="s">
        <v>27</v>
      </c>
    </row>
    <row r="151" spans="1:18" x14ac:dyDescent="0.35">
      <c r="A151" t="s">
        <v>283</v>
      </c>
      <c r="B151" s="9">
        <v>45854</v>
      </c>
      <c r="C151" t="s">
        <v>69</v>
      </c>
      <c r="D151" t="s">
        <v>80</v>
      </c>
      <c r="E151" t="s">
        <v>90</v>
      </c>
      <c r="F151" t="s">
        <v>54</v>
      </c>
      <c r="G151" t="s">
        <v>47</v>
      </c>
      <c r="H151" s="12">
        <v>2</v>
      </c>
      <c r="I151" t="s">
        <v>32</v>
      </c>
      <c r="J151" s="7">
        <v>480000</v>
      </c>
      <c r="K151" s="7">
        <v>0</v>
      </c>
      <c r="L151" s="7">
        <v>480000</v>
      </c>
      <c r="M151" t="s">
        <v>78</v>
      </c>
      <c r="N151" t="s">
        <v>34</v>
      </c>
      <c r="O151">
        <v>4</v>
      </c>
      <c r="P151" t="s">
        <v>550</v>
      </c>
      <c r="Q151" t="s">
        <v>72</v>
      </c>
    </row>
    <row r="152" spans="1:18" x14ac:dyDescent="0.35">
      <c r="A152" t="s">
        <v>284</v>
      </c>
      <c r="B152" s="9">
        <v>45774</v>
      </c>
      <c r="C152" t="s">
        <v>37</v>
      </c>
      <c r="D152" t="s">
        <v>59</v>
      </c>
      <c r="E152" t="s">
        <v>21</v>
      </c>
      <c r="F152" t="s">
        <v>54</v>
      </c>
      <c r="G152" t="s">
        <v>40</v>
      </c>
      <c r="H152" s="12">
        <v>3</v>
      </c>
      <c r="I152" t="s">
        <v>24</v>
      </c>
      <c r="J152" s="7">
        <v>420000</v>
      </c>
      <c r="K152" s="7">
        <v>0</v>
      </c>
      <c r="L152" s="7">
        <v>420000</v>
      </c>
      <c r="M152" t="s">
        <v>78</v>
      </c>
      <c r="N152" t="s">
        <v>56</v>
      </c>
      <c r="O152">
        <v>4</v>
      </c>
      <c r="P152" t="s">
        <v>550</v>
      </c>
      <c r="Q152" t="s">
        <v>48</v>
      </c>
    </row>
    <row r="153" spans="1:18" x14ac:dyDescent="0.35">
      <c r="A153" t="s">
        <v>286</v>
      </c>
      <c r="B153" s="9">
        <v>45949</v>
      </c>
      <c r="C153" t="s">
        <v>58</v>
      </c>
      <c r="D153" t="s">
        <v>46</v>
      </c>
      <c r="E153" t="s">
        <v>103</v>
      </c>
      <c r="F153" t="s">
        <v>39</v>
      </c>
      <c r="G153" t="s">
        <v>47</v>
      </c>
      <c r="H153" s="12">
        <v>1</v>
      </c>
      <c r="I153" t="s">
        <v>55</v>
      </c>
      <c r="J153" s="7">
        <v>250000</v>
      </c>
      <c r="K153" s="7">
        <v>0</v>
      </c>
      <c r="L153" s="7">
        <v>250000</v>
      </c>
      <c r="M153" t="s">
        <v>78</v>
      </c>
      <c r="N153" t="s">
        <v>34</v>
      </c>
      <c r="O153">
        <v>4</v>
      </c>
      <c r="P153" t="s">
        <v>550</v>
      </c>
      <c r="Q153" t="s">
        <v>27</v>
      </c>
      <c r="R153" t="s">
        <v>35</v>
      </c>
    </row>
    <row r="154" spans="1:18" x14ac:dyDescent="0.35">
      <c r="A154" t="s">
        <v>287</v>
      </c>
      <c r="B154" s="9">
        <v>45741</v>
      </c>
      <c r="C154" t="s">
        <v>53</v>
      </c>
      <c r="D154" t="s">
        <v>20</v>
      </c>
      <c r="E154" t="s">
        <v>31</v>
      </c>
      <c r="F154" t="s">
        <v>84</v>
      </c>
      <c r="G154" t="s">
        <v>66</v>
      </c>
      <c r="H154" s="12">
        <v>4</v>
      </c>
      <c r="I154" t="s">
        <v>55</v>
      </c>
      <c r="J154" s="7">
        <v>640000</v>
      </c>
      <c r="K154" s="7">
        <v>0</v>
      </c>
      <c r="L154" s="7">
        <v>640000</v>
      </c>
      <c r="M154" t="s">
        <v>550</v>
      </c>
      <c r="N154" t="s">
        <v>56</v>
      </c>
      <c r="O154">
        <v>5</v>
      </c>
      <c r="P154" t="s">
        <v>550</v>
      </c>
      <c r="Q154" t="s">
        <v>48</v>
      </c>
    </row>
    <row r="155" spans="1:18" x14ac:dyDescent="0.35">
      <c r="A155" t="s">
        <v>289</v>
      </c>
      <c r="B155" s="9">
        <v>45662</v>
      </c>
      <c r="C155" t="s">
        <v>37</v>
      </c>
      <c r="D155" t="s">
        <v>59</v>
      </c>
      <c r="E155" t="s">
        <v>90</v>
      </c>
      <c r="F155" t="s">
        <v>549</v>
      </c>
      <c r="G155" t="s">
        <v>40</v>
      </c>
      <c r="H155" s="12">
        <v>2</v>
      </c>
      <c r="I155" t="s">
        <v>41</v>
      </c>
      <c r="J155" s="7">
        <v>350000</v>
      </c>
      <c r="K155" s="7">
        <v>0</v>
      </c>
      <c r="L155" s="7">
        <v>350000</v>
      </c>
      <c r="M155" t="s">
        <v>78</v>
      </c>
      <c r="N155" t="s">
        <v>34</v>
      </c>
      <c r="O155">
        <v>4</v>
      </c>
      <c r="P155" t="s">
        <v>550</v>
      </c>
      <c r="Q155" t="s">
        <v>27</v>
      </c>
    </row>
    <row r="156" spans="1:18" x14ac:dyDescent="0.35">
      <c r="A156" t="s">
        <v>290</v>
      </c>
      <c r="B156" s="9">
        <v>46008</v>
      </c>
      <c r="C156" t="s">
        <v>58</v>
      </c>
      <c r="D156" t="s">
        <v>30</v>
      </c>
      <c r="E156" t="s">
        <v>38</v>
      </c>
      <c r="F156" t="s">
        <v>549</v>
      </c>
      <c r="G156" t="s">
        <v>40</v>
      </c>
      <c r="H156" s="12">
        <v>3</v>
      </c>
      <c r="I156" t="s">
        <v>41</v>
      </c>
      <c r="J156" s="7">
        <v>480000</v>
      </c>
      <c r="K156" s="7">
        <v>0</v>
      </c>
      <c r="L156" s="7">
        <v>480000</v>
      </c>
      <c r="M156" t="s">
        <v>33</v>
      </c>
      <c r="N156" t="s">
        <v>34</v>
      </c>
      <c r="O156">
        <v>4</v>
      </c>
      <c r="P156" t="s">
        <v>550</v>
      </c>
      <c r="Q156" t="s">
        <v>27</v>
      </c>
      <c r="R156" t="s">
        <v>49</v>
      </c>
    </row>
    <row r="157" spans="1:18" x14ac:dyDescent="0.35">
      <c r="A157" t="s">
        <v>291</v>
      </c>
      <c r="B157" s="9">
        <v>45872</v>
      </c>
      <c r="C157" t="s">
        <v>69</v>
      </c>
      <c r="D157" t="s">
        <v>30</v>
      </c>
      <c r="E157" t="s">
        <v>21</v>
      </c>
      <c r="F157" t="s">
        <v>84</v>
      </c>
      <c r="G157" t="s">
        <v>71</v>
      </c>
      <c r="H157" s="12">
        <v>3</v>
      </c>
      <c r="I157" t="s">
        <v>55</v>
      </c>
      <c r="J157" s="7">
        <v>600000</v>
      </c>
      <c r="K157" s="7">
        <v>90000</v>
      </c>
      <c r="L157" s="7">
        <v>510000</v>
      </c>
      <c r="M157" t="s">
        <v>42</v>
      </c>
      <c r="N157" t="s">
        <v>34</v>
      </c>
      <c r="O157">
        <v>5</v>
      </c>
      <c r="P157" t="s">
        <v>550</v>
      </c>
      <c r="Q157" t="s">
        <v>27</v>
      </c>
      <c r="R157" t="s">
        <v>94</v>
      </c>
    </row>
    <row r="158" spans="1:18" x14ac:dyDescent="0.35">
      <c r="A158" t="s">
        <v>292</v>
      </c>
      <c r="B158" s="9">
        <v>45944</v>
      </c>
      <c r="C158" t="s">
        <v>37</v>
      </c>
      <c r="D158" t="s">
        <v>59</v>
      </c>
      <c r="E158" t="s">
        <v>21</v>
      </c>
      <c r="F158" t="s">
        <v>84</v>
      </c>
      <c r="G158" t="s">
        <v>23</v>
      </c>
      <c r="H158" s="12">
        <v>4</v>
      </c>
      <c r="I158" t="s">
        <v>41</v>
      </c>
      <c r="J158" s="7">
        <v>700000</v>
      </c>
      <c r="K158" s="7">
        <v>0</v>
      </c>
      <c r="L158" s="7">
        <v>700000</v>
      </c>
      <c r="M158" t="s">
        <v>33</v>
      </c>
      <c r="N158" t="s">
        <v>34</v>
      </c>
      <c r="O158">
        <v>4</v>
      </c>
      <c r="P158" t="s">
        <v>550</v>
      </c>
      <c r="Q158" t="s">
        <v>43</v>
      </c>
      <c r="R158" t="s">
        <v>49</v>
      </c>
    </row>
    <row r="159" spans="1:18" x14ac:dyDescent="0.35">
      <c r="A159" t="s">
        <v>294</v>
      </c>
      <c r="B159" s="9">
        <v>45929</v>
      </c>
      <c r="C159" t="s">
        <v>53</v>
      </c>
      <c r="D159" t="s">
        <v>30</v>
      </c>
      <c r="E159" t="s">
        <v>38</v>
      </c>
      <c r="F159" t="s">
        <v>39</v>
      </c>
      <c r="G159" t="s">
        <v>23</v>
      </c>
      <c r="H159" s="12">
        <v>2</v>
      </c>
      <c r="I159" t="s">
        <v>32</v>
      </c>
      <c r="J159" s="7">
        <v>350000</v>
      </c>
      <c r="K159" s="7">
        <v>0</v>
      </c>
      <c r="L159" s="7">
        <v>350000</v>
      </c>
      <c r="M159" t="s">
        <v>33</v>
      </c>
      <c r="N159" t="s">
        <v>34</v>
      </c>
      <c r="O159">
        <v>4</v>
      </c>
      <c r="P159" t="s">
        <v>550</v>
      </c>
      <c r="Q159" t="s">
        <v>60</v>
      </c>
      <c r="R159" t="s">
        <v>35</v>
      </c>
    </row>
    <row r="160" spans="1:18" x14ac:dyDescent="0.35">
      <c r="A160" t="s">
        <v>295</v>
      </c>
      <c r="B160" s="9">
        <v>45953</v>
      </c>
      <c r="C160" t="s">
        <v>37</v>
      </c>
      <c r="D160" t="s">
        <v>30</v>
      </c>
      <c r="E160" t="s">
        <v>38</v>
      </c>
      <c r="F160" t="s">
        <v>39</v>
      </c>
      <c r="G160" t="s">
        <v>71</v>
      </c>
      <c r="H160" s="12">
        <v>2</v>
      </c>
      <c r="I160" t="s">
        <v>32</v>
      </c>
      <c r="J160" s="7">
        <v>350000</v>
      </c>
      <c r="K160" s="7">
        <v>17500</v>
      </c>
      <c r="L160" s="7">
        <v>332500</v>
      </c>
      <c r="M160" t="s">
        <v>78</v>
      </c>
      <c r="N160" t="s">
        <v>34</v>
      </c>
      <c r="O160">
        <v>3</v>
      </c>
      <c r="P160" t="s">
        <v>550</v>
      </c>
      <c r="Q160" t="s">
        <v>60</v>
      </c>
    </row>
    <row r="161" spans="1:18" x14ac:dyDescent="0.35">
      <c r="A161" t="s">
        <v>296</v>
      </c>
      <c r="B161" s="9">
        <v>46013</v>
      </c>
      <c r="C161" t="s">
        <v>53</v>
      </c>
      <c r="D161" t="s">
        <v>59</v>
      </c>
      <c r="E161" t="s">
        <v>103</v>
      </c>
      <c r="F161" t="s">
        <v>84</v>
      </c>
      <c r="G161" t="s">
        <v>66</v>
      </c>
      <c r="H161" s="12">
        <v>1</v>
      </c>
      <c r="I161" t="s">
        <v>24</v>
      </c>
      <c r="J161" s="7">
        <v>140000</v>
      </c>
      <c r="K161" s="7">
        <v>0</v>
      </c>
      <c r="L161" s="7">
        <v>140000</v>
      </c>
      <c r="M161" t="s">
        <v>33</v>
      </c>
      <c r="N161" t="s">
        <v>34</v>
      </c>
      <c r="O161">
        <v>4</v>
      </c>
      <c r="P161" t="s">
        <v>550</v>
      </c>
      <c r="Q161" t="s">
        <v>43</v>
      </c>
      <c r="R161" t="s">
        <v>96</v>
      </c>
    </row>
    <row r="162" spans="1:18" x14ac:dyDescent="0.35">
      <c r="A162" t="s">
        <v>297</v>
      </c>
      <c r="B162" s="9">
        <v>45667</v>
      </c>
      <c r="C162" t="s">
        <v>37</v>
      </c>
      <c r="D162" t="s">
        <v>46</v>
      </c>
      <c r="E162" t="s">
        <v>21</v>
      </c>
      <c r="F162" t="s">
        <v>39</v>
      </c>
      <c r="G162" t="s">
        <v>23</v>
      </c>
      <c r="H162" s="12">
        <v>1</v>
      </c>
      <c r="I162" t="s">
        <v>24</v>
      </c>
      <c r="J162" s="7">
        <v>175000</v>
      </c>
      <c r="K162" s="7">
        <v>8750</v>
      </c>
      <c r="L162" s="7">
        <v>166250</v>
      </c>
      <c r="M162" t="s">
        <v>42</v>
      </c>
      <c r="N162" t="s">
        <v>34</v>
      </c>
      <c r="O162">
        <v>5</v>
      </c>
      <c r="P162" t="s">
        <v>550</v>
      </c>
      <c r="Q162" t="s">
        <v>72</v>
      </c>
    </row>
    <row r="163" spans="1:18" x14ac:dyDescent="0.35">
      <c r="A163" t="s">
        <v>299</v>
      </c>
      <c r="B163" s="9">
        <v>45938</v>
      </c>
      <c r="C163" t="s">
        <v>53</v>
      </c>
      <c r="D163" t="s">
        <v>30</v>
      </c>
      <c r="E163" t="s">
        <v>21</v>
      </c>
      <c r="F163" t="s">
        <v>39</v>
      </c>
      <c r="G163" t="s">
        <v>23</v>
      </c>
      <c r="H163" s="12">
        <v>2</v>
      </c>
      <c r="I163" t="s">
        <v>24</v>
      </c>
      <c r="J163" s="7">
        <v>250000</v>
      </c>
      <c r="K163" s="7">
        <v>37500</v>
      </c>
      <c r="L163" s="7">
        <v>212500</v>
      </c>
      <c r="M163" t="s">
        <v>25</v>
      </c>
      <c r="N163" t="s">
        <v>34</v>
      </c>
      <c r="O163">
        <v>5</v>
      </c>
      <c r="P163" t="s">
        <v>550</v>
      </c>
      <c r="Q163" t="s">
        <v>27</v>
      </c>
    </row>
    <row r="164" spans="1:18" x14ac:dyDescent="0.35">
      <c r="A164" t="s">
        <v>300</v>
      </c>
      <c r="B164" s="9">
        <v>45925</v>
      </c>
      <c r="C164" t="s">
        <v>37</v>
      </c>
      <c r="D164" t="s">
        <v>59</v>
      </c>
      <c r="E164" t="s">
        <v>21</v>
      </c>
      <c r="F164" t="s">
        <v>54</v>
      </c>
      <c r="G164" t="s">
        <v>40</v>
      </c>
      <c r="H164" s="12">
        <v>3</v>
      </c>
      <c r="I164" t="s">
        <v>32</v>
      </c>
      <c r="J164" s="7">
        <v>570000</v>
      </c>
      <c r="K164" s="7">
        <v>0</v>
      </c>
      <c r="L164" s="7">
        <v>570000</v>
      </c>
      <c r="M164" t="s">
        <v>78</v>
      </c>
      <c r="N164" t="s">
        <v>34</v>
      </c>
      <c r="O164">
        <v>4</v>
      </c>
      <c r="P164" t="s">
        <v>550</v>
      </c>
      <c r="Q164" t="s">
        <v>72</v>
      </c>
    </row>
    <row r="165" spans="1:18" x14ac:dyDescent="0.35">
      <c r="A165" t="s">
        <v>301</v>
      </c>
      <c r="B165" s="9">
        <v>45709</v>
      </c>
      <c r="C165" t="s">
        <v>53</v>
      </c>
      <c r="D165" t="s">
        <v>46</v>
      </c>
      <c r="E165" t="s">
        <v>99</v>
      </c>
      <c r="F165" t="s">
        <v>549</v>
      </c>
      <c r="G165" t="s">
        <v>40</v>
      </c>
      <c r="H165" s="12">
        <v>4</v>
      </c>
      <c r="I165" t="s">
        <v>24</v>
      </c>
      <c r="J165" s="7">
        <v>700000</v>
      </c>
      <c r="K165" s="7">
        <v>0</v>
      </c>
      <c r="L165" s="7">
        <v>700000</v>
      </c>
      <c r="M165" t="s">
        <v>25</v>
      </c>
      <c r="N165" t="s">
        <v>34</v>
      </c>
      <c r="O165">
        <v>4</v>
      </c>
      <c r="P165" t="s">
        <v>550</v>
      </c>
      <c r="Q165" t="s">
        <v>43</v>
      </c>
      <c r="R165" t="s">
        <v>35</v>
      </c>
    </row>
    <row r="166" spans="1:18" x14ac:dyDescent="0.35">
      <c r="A166" t="s">
        <v>303</v>
      </c>
      <c r="B166" s="9">
        <v>45976</v>
      </c>
      <c r="C166" t="s">
        <v>53</v>
      </c>
      <c r="D166" t="s">
        <v>20</v>
      </c>
      <c r="E166" t="s">
        <v>31</v>
      </c>
      <c r="F166" t="s">
        <v>549</v>
      </c>
      <c r="G166" t="s">
        <v>23</v>
      </c>
      <c r="H166" s="12">
        <v>1</v>
      </c>
      <c r="I166" t="s">
        <v>32</v>
      </c>
      <c r="J166" s="7">
        <v>135000</v>
      </c>
      <c r="K166" s="7">
        <v>20250</v>
      </c>
      <c r="L166" s="7">
        <v>114750</v>
      </c>
      <c r="M166" t="s">
        <v>78</v>
      </c>
      <c r="N166" t="s">
        <v>34</v>
      </c>
      <c r="O166" t="s">
        <v>550</v>
      </c>
      <c r="P166" t="s">
        <v>550</v>
      </c>
      <c r="Q166" t="s">
        <v>48</v>
      </c>
      <c r="R166" t="s">
        <v>96</v>
      </c>
    </row>
    <row r="167" spans="1:18" x14ac:dyDescent="0.35">
      <c r="A167" t="s">
        <v>304</v>
      </c>
      <c r="B167" s="9">
        <v>46005</v>
      </c>
      <c r="C167" t="s">
        <v>69</v>
      </c>
      <c r="D167" t="s">
        <v>46</v>
      </c>
      <c r="E167" t="s">
        <v>90</v>
      </c>
      <c r="F167" t="s">
        <v>54</v>
      </c>
      <c r="G167" t="s">
        <v>40</v>
      </c>
      <c r="H167" s="12">
        <v>2</v>
      </c>
      <c r="I167" t="s">
        <v>24</v>
      </c>
      <c r="J167" s="7">
        <v>350000</v>
      </c>
      <c r="K167" s="7">
        <v>17500</v>
      </c>
      <c r="L167" s="7">
        <v>332500</v>
      </c>
      <c r="M167" t="s">
        <v>42</v>
      </c>
      <c r="N167" t="s">
        <v>34</v>
      </c>
      <c r="O167">
        <v>4</v>
      </c>
      <c r="P167" t="s">
        <v>550</v>
      </c>
      <c r="Q167" t="s">
        <v>27</v>
      </c>
    </row>
    <row r="168" spans="1:18" x14ac:dyDescent="0.35">
      <c r="A168" t="s">
        <v>305</v>
      </c>
      <c r="B168" s="9">
        <v>45923</v>
      </c>
      <c r="C168" t="s">
        <v>45</v>
      </c>
      <c r="D168" t="s">
        <v>80</v>
      </c>
      <c r="E168" t="s">
        <v>38</v>
      </c>
      <c r="F168" t="s">
        <v>54</v>
      </c>
      <c r="G168" t="s">
        <v>23</v>
      </c>
      <c r="H168" s="12">
        <v>4</v>
      </c>
      <c r="I168" t="s">
        <v>24</v>
      </c>
      <c r="J168" s="7">
        <v>760000</v>
      </c>
      <c r="K168" s="7">
        <v>0</v>
      </c>
      <c r="L168" s="7">
        <v>760000</v>
      </c>
      <c r="M168" t="s">
        <v>78</v>
      </c>
      <c r="N168" t="s">
        <v>34</v>
      </c>
      <c r="O168">
        <v>5</v>
      </c>
      <c r="P168" t="s">
        <v>550</v>
      </c>
      <c r="Q168" t="s">
        <v>43</v>
      </c>
    </row>
    <row r="169" spans="1:18" x14ac:dyDescent="0.35">
      <c r="A169" t="s">
        <v>306</v>
      </c>
      <c r="B169" s="9">
        <v>45864</v>
      </c>
      <c r="C169" t="s">
        <v>37</v>
      </c>
      <c r="D169" t="s">
        <v>20</v>
      </c>
      <c r="E169" t="s">
        <v>99</v>
      </c>
      <c r="F169" t="s">
        <v>54</v>
      </c>
      <c r="G169" t="s">
        <v>71</v>
      </c>
      <c r="H169" s="12">
        <v>1</v>
      </c>
      <c r="I169" t="s">
        <v>24</v>
      </c>
      <c r="J169" s="7">
        <v>85000</v>
      </c>
      <c r="K169" s="7">
        <v>4250</v>
      </c>
      <c r="L169" s="7">
        <v>80750</v>
      </c>
      <c r="M169" t="s">
        <v>78</v>
      </c>
      <c r="N169" t="s">
        <v>34</v>
      </c>
      <c r="O169">
        <v>5</v>
      </c>
      <c r="P169" t="s">
        <v>550</v>
      </c>
      <c r="Q169" t="s">
        <v>48</v>
      </c>
      <c r="R169" t="s">
        <v>94</v>
      </c>
    </row>
    <row r="170" spans="1:18" x14ac:dyDescent="0.35">
      <c r="A170" t="s">
        <v>307</v>
      </c>
      <c r="B170" s="9">
        <v>45945</v>
      </c>
      <c r="C170" t="s">
        <v>37</v>
      </c>
      <c r="D170" t="s">
        <v>30</v>
      </c>
      <c r="E170" t="s">
        <v>31</v>
      </c>
      <c r="F170" t="s">
        <v>549</v>
      </c>
      <c r="G170" t="s">
        <v>47</v>
      </c>
      <c r="H170" s="12">
        <v>2</v>
      </c>
      <c r="I170" t="s">
        <v>32</v>
      </c>
      <c r="J170" s="7">
        <v>350000</v>
      </c>
      <c r="K170" s="7">
        <v>52500</v>
      </c>
      <c r="L170" s="7">
        <v>297500</v>
      </c>
      <c r="M170" t="s">
        <v>78</v>
      </c>
      <c r="N170" t="s">
        <v>34</v>
      </c>
      <c r="O170">
        <v>5</v>
      </c>
      <c r="P170" t="s">
        <v>550</v>
      </c>
      <c r="Q170" t="s">
        <v>72</v>
      </c>
    </row>
    <row r="171" spans="1:18" x14ac:dyDescent="0.35">
      <c r="A171" t="s">
        <v>308</v>
      </c>
      <c r="B171" s="9">
        <v>45742</v>
      </c>
      <c r="C171" t="s">
        <v>69</v>
      </c>
      <c r="D171" t="s">
        <v>46</v>
      </c>
      <c r="E171" t="s">
        <v>21</v>
      </c>
      <c r="F171" t="s">
        <v>54</v>
      </c>
      <c r="G171" t="s">
        <v>47</v>
      </c>
      <c r="H171" s="12">
        <v>1</v>
      </c>
      <c r="I171" t="s">
        <v>32</v>
      </c>
      <c r="J171" s="7">
        <v>225000</v>
      </c>
      <c r="K171" s="7">
        <v>0</v>
      </c>
      <c r="L171" s="7">
        <v>225000</v>
      </c>
      <c r="M171" t="s">
        <v>42</v>
      </c>
      <c r="N171" t="s">
        <v>34</v>
      </c>
      <c r="O171">
        <v>4</v>
      </c>
      <c r="P171" t="s">
        <v>550</v>
      </c>
      <c r="Q171" t="s">
        <v>48</v>
      </c>
      <c r="R171" t="s">
        <v>35</v>
      </c>
    </row>
    <row r="172" spans="1:18" x14ac:dyDescent="0.35">
      <c r="A172" t="s">
        <v>309</v>
      </c>
      <c r="B172" s="9">
        <v>45726</v>
      </c>
      <c r="C172" t="s">
        <v>69</v>
      </c>
      <c r="D172" t="s">
        <v>20</v>
      </c>
      <c r="E172" t="s">
        <v>90</v>
      </c>
      <c r="F172" t="s">
        <v>84</v>
      </c>
      <c r="G172" t="s">
        <v>71</v>
      </c>
      <c r="H172" s="12">
        <v>4</v>
      </c>
      <c r="I172" t="s">
        <v>55</v>
      </c>
      <c r="J172" s="7">
        <v>640000</v>
      </c>
      <c r="K172" s="7">
        <v>96000</v>
      </c>
      <c r="L172" s="7">
        <v>544000</v>
      </c>
      <c r="M172" t="s">
        <v>78</v>
      </c>
      <c r="N172" t="s">
        <v>56</v>
      </c>
      <c r="O172">
        <v>5</v>
      </c>
      <c r="P172" t="s">
        <v>550</v>
      </c>
      <c r="Q172" t="s">
        <v>27</v>
      </c>
    </row>
    <row r="173" spans="1:18" x14ac:dyDescent="0.35">
      <c r="A173" t="s">
        <v>310</v>
      </c>
      <c r="B173" s="9">
        <v>45861</v>
      </c>
      <c r="C173" t="s">
        <v>53</v>
      </c>
      <c r="D173" t="s">
        <v>59</v>
      </c>
      <c r="E173" t="s">
        <v>99</v>
      </c>
      <c r="F173" t="s">
        <v>39</v>
      </c>
      <c r="G173" t="s">
        <v>23</v>
      </c>
      <c r="H173" s="12">
        <v>2</v>
      </c>
      <c r="I173" t="s">
        <v>41</v>
      </c>
      <c r="J173" s="7">
        <v>350000</v>
      </c>
      <c r="K173" s="7">
        <v>52500</v>
      </c>
      <c r="L173" s="7">
        <v>297500</v>
      </c>
      <c r="M173" t="s">
        <v>33</v>
      </c>
      <c r="N173" t="s">
        <v>26</v>
      </c>
      <c r="O173">
        <v>5</v>
      </c>
      <c r="P173" t="s">
        <v>85</v>
      </c>
      <c r="Q173" t="s">
        <v>27</v>
      </c>
      <c r="R173" t="s">
        <v>94</v>
      </c>
    </row>
    <row r="174" spans="1:18" x14ac:dyDescent="0.35">
      <c r="A174" t="s">
        <v>311</v>
      </c>
      <c r="B174" s="9">
        <v>46021</v>
      </c>
      <c r="C174" t="s">
        <v>58</v>
      </c>
      <c r="D174" t="s">
        <v>59</v>
      </c>
      <c r="E174" t="s">
        <v>90</v>
      </c>
      <c r="F174" t="s">
        <v>54</v>
      </c>
      <c r="G174" t="s">
        <v>71</v>
      </c>
      <c r="H174" s="12">
        <v>3</v>
      </c>
      <c r="I174" t="s">
        <v>41</v>
      </c>
      <c r="J174" s="7">
        <v>525000</v>
      </c>
      <c r="K174" s="7">
        <v>26250</v>
      </c>
      <c r="L174" s="7">
        <v>498750</v>
      </c>
      <c r="M174" t="s">
        <v>78</v>
      </c>
      <c r="N174" t="s">
        <v>26</v>
      </c>
      <c r="O174" t="s">
        <v>550</v>
      </c>
      <c r="P174" t="s">
        <v>551</v>
      </c>
      <c r="Q174" t="s">
        <v>60</v>
      </c>
      <c r="R174" t="s">
        <v>49</v>
      </c>
    </row>
    <row r="175" spans="1:18" x14ac:dyDescent="0.35">
      <c r="A175" t="s">
        <v>312</v>
      </c>
      <c r="B175" s="9">
        <v>45689</v>
      </c>
      <c r="C175" t="s">
        <v>53</v>
      </c>
      <c r="D175" t="s">
        <v>46</v>
      </c>
      <c r="E175" t="s">
        <v>90</v>
      </c>
      <c r="F175" t="s">
        <v>84</v>
      </c>
      <c r="G175" t="s">
        <v>40</v>
      </c>
      <c r="H175" s="12">
        <v>4</v>
      </c>
      <c r="I175" t="s">
        <v>55</v>
      </c>
      <c r="J175" s="7">
        <v>1000000</v>
      </c>
      <c r="K175" s="7">
        <v>150000</v>
      </c>
      <c r="L175" s="7">
        <v>850000</v>
      </c>
      <c r="M175" t="s">
        <v>25</v>
      </c>
      <c r="N175" t="s">
        <v>56</v>
      </c>
      <c r="O175">
        <v>5</v>
      </c>
      <c r="P175" t="s">
        <v>550</v>
      </c>
      <c r="Q175" t="s">
        <v>48</v>
      </c>
      <c r="R175" t="s">
        <v>49</v>
      </c>
    </row>
    <row r="176" spans="1:18" x14ac:dyDescent="0.35">
      <c r="A176" t="s">
        <v>314</v>
      </c>
      <c r="B176" s="9">
        <v>45685</v>
      </c>
      <c r="C176" t="s">
        <v>58</v>
      </c>
      <c r="D176" t="s">
        <v>59</v>
      </c>
      <c r="E176" t="s">
        <v>103</v>
      </c>
      <c r="F176" t="s">
        <v>112</v>
      </c>
      <c r="G176" t="s">
        <v>66</v>
      </c>
      <c r="H176" s="12">
        <v>2</v>
      </c>
      <c r="I176" t="s">
        <v>55</v>
      </c>
      <c r="J176" s="7">
        <v>430000</v>
      </c>
      <c r="K176" s="7">
        <v>64500</v>
      </c>
      <c r="L176" s="7">
        <v>365500</v>
      </c>
      <c r="M176" t="s">
        <v>33</v>
      </c>
      <c r="N176" t="s">
        <v>56</v>
      </c>
      <c r="O176">
        <v>4</v>
      </c>
      <c r="P176" t="s">
        <v>550</v>
      </c>
      <c r="Q176" t="s">
        <v>60</v>
      </c>
    </row>
    <row r="177" spans="1:18" x14ac:dyDescent="0.35">
      <c r="A177" t="s">
        <v>316</v>
      </c>
      <c r="B177" s="9">
        <v>45957</v>
      </c>
      <c r="C177" t="s">
        <v>53</v>
      </c>
      <c r="D177" t="s">
        <v>20</v>
      </c>
      <c r="E177" t="s">
        <v>31</v>
      </c>
      <c r="F177" t="s">
        <v>54</v>
      </c>
      <c r="G177" t="s">
        <v>23</v>
      </c>
      <c r="H177" s="12">
        <v>2</v>
      </c>
      <c r="I177" t="s">
        <v>24</v>
      </c>
      <c r="J177" s="7">
        <v>170000</v>
      </c>
      <c r="K177" s="7">
        <v>25500</v>
      </c>
      <c r="L177" s="7">
        <v>144500</v>
      </c>
      <c r="M177" t="s">
        <v>550</v>
      </c>
      <c r="N177" t="s">
        <v>34</v>
      </c>
      <c r="O177">
        <v>5</v>
      </c>
      <c r="P177" t="s">
        <v>550</v>
      </c>
      <c r="Q177" t="s">
        <v>43</v>
      </c>
      <c r="R177" t="s">
        <v>35</v>
      </c>
    </row>
    <row r="178" spans="1:18" x14ac:dyDescent="0.35">
      <c r="A178" t="s">
        <v>317</v>
      </c>
      <c r="B178" s="9">
        <v>45936</v>
      </c>
      <c r="C178" t="s">
        <v>45</v>
      </c>
      <c r="D178" t="s">
        <v>30</v>
      </c>
      <c r="E178" t="s">
        <v>38</v>
      </c>
      <c r="F178" t="s">
        <v>549</v>
      </c>
      <c r="G178" t="s">
        <v>23</v>
      </c>
      <c r="H178" s="12">
        <v>1</v>
      </c>
      <c r="I178" t="s">
        <v>41</v>
      </c>
      <c r="J178" s="7">
        <v>160000</v>
      </c>
      <c r="K178" s="7">
        <v>0</v>
      </c>
      <c r="L178" s="7">
        <v>160000</v>
      </c>
      <c r="M178" t="s">
        <v>33</v>
      </c>
      <c r="N178" t="s">
        <v>34</v>
      </c>
      <c r="O178" t="s">
        <v>550</v>
      </c>
      <c r="P178" t="s">
        <v>550</v>
      </c>
      <c r="Q178" t="s">
        <v>72</v>
      </c>
      <c r="R178" t="s">
        <v>49</v>
      </c>
    </row>
    <row r="179" spans="1:18" x14ac:dyDescent="0.35">
      <c r="A179" t="s">
        <v>318</v>
      </c>
      <c r="B179" s="9">
        <v>46007</v>
      </c>
      <c r="C179" t="s">
        <v>53</v>
      </c>
      <c r="D179" t="s">
        <v>30</v>
      </c>
      <c r="E179" t="s">
        <v>38</v>
      </c>
      <c r="F179" t="s">
        <v>54</v>
      </c>
      <c r="G179" t="s">
        <v>40</v>
      </c>
      <c r="H179" s="12">
        <v>2</v>
      </c>
      <c r="I179" t="s">
        <v>41</v>
      </c>
      <c r="J179" s="7">
        <v>320000</v>
      </c>
      <c r="K179" s="7">
        <v>32000</v>
      </c>
      <c r="L179" s="7">
        <v>288000</v>
      </c>
      <c r="M179" t="s">
        <v>33</v>
      </c>
      <c r="N179" t="s">
        <v>34</v>
      </c>
      <c r="O179" t="s">
        <v>550</v>
      </c>
      <c r="P179" t="s">
        <v>550</v>
      </c>
      <c r="Q179" t="s">
        <v>72</v>
      </c>
      <c r="R179" t="s">
        <v>49</v>
      </c>
    </row>
    <row r="180" spans="1:18" x14ac:dyDescent="0.35">
      <c r="A180" t="s">
        <v>319</v>
      </c>
      <c r="B180" s="9">
        <v>45978</v>
      </c>
      <c r="C180" t="s">
        <v>58</v>
      </c>
      <c r="D180" t="s">
        <v>46</v>
      </c>
      <c r="E180" t="s">
        <v>21</v>
      </c>
      <c r="F180" t="s">
        <v>39</v>
      </c>
      <c r="G180" t="s">
        <v>66</v>
      </c>
      <c r="H180" s="12">
        <v>4</v>
      </c>
      <c r="I180" t="s">
        <v>32</v>
      </c>
      <c r="J180" s="7">
        <v>900000</v>
      </c>
      <c r="K180" s="7">
        <v>135000</v>
      </c>
      <c r="L180" s="7">
        <v>765000</v>
      </c>
      <c r="M180" t="s">
        <v>42</v>
      </c>
      <c r="N180" t="s">
        <v>56</v>
      </c>
      <c r="O180" t="s">
        <v>550</v>
      </c>
      <c r="P180" t="s">
        <v>550</v>
      </c>
      <c r="Q180" t="s">
        <v>27</v>
      </c>
    </row>
    <row r="181" spans="1:18" x14ac:dyDescent="0.35">
      <c r="A181" t="s">
        <v>321</v>
      </c>
      <c r="B181" s="9">
        <v>45866</v>
      </c>
      <c r="C181" t="s">
        <v>69</v>
      </c>
      <c r="D181" t="s">
        <v>30</v>
      </c>
      <c r="E181" t="s">
        <v>21</v>
      </c>
      <c r="F181" t="s">
        <v>54</v>
      </c>
      <c r="G181" t="s">
        <v>66</v>
      </c>
      <c r="H181" s="12">
        <v>1</v>
      </c>
      <c r="I181" t="s">
        <v>24</v>
      </c>
      <c r="J181" s="7">
        <v>125000</v>
      </c>
      <c r="K181" s="7">
        <v>18750</v>
      </c>
      <c r="L181" s="7">
        <v>106250</v>
      </c>
      <c r="M181" t="s">
        <v>78</v>
      </c>
      <c r="N181" t="s">
        <v>26</v>
      </c>
      <c r="O181">
        <v>5</v>
      </c>
      <c r="P181" t="s">
        <v>85</v>
      </c>
      <c r="Q181" t="s">
        <v>72</v>
      </c>
    </row>
    <row r="182" spans="1:18" x14ac:dyDescent="0.35">
      <c r="A182" t="s">
        <v>323</v>
      </c>
      <c r="B182" s="9">
        <v>45802</v>
      </c>
      <c r="C182" t="s">
        <v>69</v>
      </c>
      <c r="D182" t="s">
        <v>30</v>
      </c>
      <c r="E182" t="s">
        <v>99</v>
      </c>
      <c r="F182" t="s">
        <v>84</v>
      </c>
      <c r="G182" t="s">
        <v>66</v>
      </c>
      <c r="H182" s="12">
        <v>3</v>
      </c>
      <c r="I182" t="s">
        <v>32</v>
      </c>
      <c r="J182" s="7">
        <v>525000</v>
      </c>
      <c r="K182" s="7">
        <v>52500</v>
      </c>
      <c r="L182" s="7">
        <v>472500</v>
      </c>
      <c r="M182" t="s">
        <v>42</v>
      </c>
      <c r="N182" t="s">
        <v>34</v>
      </c>
      <c r="O182">
        <v>4</v>
      </c>
      <c r="P182" t="s">
        <v>550</v>
      </c>
      <c r="Q182" t="s">
        <v>72</v>
      </c>
      <c r="R182" t="s">
        <v>94</v>
      </c>
    </row>
    <row r="183" spans="1:18" x14ac:dyDescent="0.35">
      <c r="A183" t="s">
        <v>324</v>
      </c>
      <c r="B183" s="9">
        <v>45951</v>
      </c>
      <c r="C183" t="s">
        <v>45</v>
      </c>
      <c r="D183" t="s">
        <v>30</v>
      </c>
      <c r="E183" t="s">
        <v>90</v>
      </c>
      <c r="F183" t="s">
        <v>112</v>
      </c>
      <c r="G183" t="s">
        <v>47</v>
      </c>
      <c r="H183" s="12">
        <v>2</v>
      </c>
      <c r="I183" t="s">
        <v>55</v>
      </c>
      <c r="J183" s="7">
        <v>400000</v>
      </c>
      <c r="K183" s="7">
        <v>0</v>
      </c>
      <c r="L183" s="7">
        <v>400000</v>
      </c>
      <c r="M183" t="s">
        <v>33</v>
      </c>
      <c r="N183" t="s">
        <v>34</v>
      </c>
      <c r="O183">
        <v>4</v>
      </c>
      <c r="P183" t="s">
        <v>550</v>
      </c>
      <c r="Q183" t="s">
        <v>72</v>
      </c>
    </row>
    <row r="184" spans="1:18" x14ac:dyDescent="0.35">
      <c r="A184" t="s">
        <v>325</v>
      </c>
      <c r="B184" s="9">
        <v>45806</v>
      </c>
      <c r="C184" t="s">
        <v>58</v>
      </c>
      <c r="D184" t="s">
        <v>59</v>
      </c>
      <c r="E184" t="s">
        <v>38</v>
      </c>
      <c r="F184" t="s">
        <v>39</v>
      </c>
      <c r="G184" t="s">
        <v>71</v>
      </c>
      <c r="H184" s="12">
        <v>1</v>
      </c>
      <c r="I184" t="s">
        <v>55</v>
      </c>
      <c r="J184" s="7">
        <v>215000</v>
      </c>
      <c r="K184" s="7">
        <v>0</v>
      </c>
      <c r="L184" s="7">
        <v>215000</v>
      </c>
      <c r="M184" t="s">
        <v>33</v>
      </c>
      <c r="N184" t="s">
        <v>34</v>
      </c>
      <c r="O184">
        <v>4</v>
      </c>
      <c r="P184" t="s">
        <v>550</v>
      </c>
      <c r="Q184" t="s">
        <v>27</v>
      </c>
      <c r="R184" t="s">
        <v>49</v>
      </c>
    </row>
    <row r="185" spans="1:18" x14ac:dyDescent="0.35">
      <c r="A185" t="s">
        <v>326</v>
      </c>
      <c r="B185" s="9">
        <v>45877</v>
      </c>
      <c r="C185" t="s">
        <v>37</v>
      </c>
      <c r="D185" t="s">
        <v>20</v>
      </c>
      <c r="E185" t="s">
        <v>31</v>
      </c>
      <c r="F185" t="s">
        <v>39</v>
      </c>
      <c r="G185" t="s">
        <v>23</v>
      </c>
      <c r="H185" s="12">
        <v>4</v>
      </c>
      <c r="I185" t="s">
        <v>41</v>
      </c>
      <c r="J185" s="7">
        <v>480000</v>
      </c>
      <c r="K185" s="7">
        <v>0</v>
      </c>
      <c r="L185" s="7">
        <v>480000</v>
      </c>
      <c r="M185" t="s">
        <v>78</v>
      </c>
      <c r="N185" t="s">
        <v>34</v>
      </c>
      <c r="O185">
        <v>5</v>
      </c>
      <c r="P185" t="s">
        <v>550</v>
      </c>
      <c r="Q185" t="s">
        <v>48</v>
      </c>
      <c r="R185" t="s">
        <v>94</v>
      </c>
    </row>
    <row r="186" spans="1:18" x14ac:dyDescent="0.35">
      <c r="A186" t="s">
        <v>328</v>
      </c>
      <c r="B186" s="9">
        <v>45758</v>
      </c>
      <c r="C186" t="s">
        <v>53</v>
      </c>
      <c r="D186" t="s">
        <v>20</v>
      </c>
      <c r="E186" t="s">
        <v>21</v>
      </c>
      <c r="F186" t="s">
        <v>84</v>
      </c>
      <c r="G186" t="s">
        <v>47</v>
      </c>
      <c r="H186" s="12">
        <v>2</v>
      </c>
      <c r="I186" t="s">
        <v>32</v>
      </c>
      <c r="J186" s="7">
        <v>270000</v>
      </c>
      <c r="K186" s="7">
        <v>27000</v>
      </c>
      <c r="L186" s="7">
        <v>243000</v>
      </c>
      <c r="M186" t="s">
        <v>25</v>
      </c>
      <c r="N186" t="s">
        <v>56</v>
      </c>
      <c r="O186">
        <v>4</v>
      </c>
      <c r="P186" t="s">
        <v>550</v>
      </c>
      <c r="Q186" t="s">
        <v>43</v>
      </c>
    </row>
    <row r="187" spans="1:18" x14ac:dyDescent="0.35">
      <c r="A187" t="s">
        <v>329</v>
      </c>
      <c r="B187" s="9">
        <v>45914</v>
      </c>
      <c r="C187" t="s">
        <v>45</v>
      </c>
      <c r="D187" t="s">
        <v>20</v>
      </c>
      <c r="E187" t="s">
        <v>99</v>
      </c>
      <c r="F187" t="s">
        <v>549</v>
      </c>
      <c r="G187" t="s">
        <v>71</v>
      </c>
      <c r="H187" s="12">
        <v>4</v>
      </c>
      <c r="I187" t="s">
        <v>55</v>
      </c>
      <c r="J187" s="7">
        <v>640000</v>
      </c>
      <c r="K187" s="7">
        <v>64000</v>
      </c>
      <c r="L187" s="7">
        <v>576000</v>
      </c>
      <c r="M187" t="s">
        <v>550</v>
      </c>
      <c r="N187" t="s">
        <v>34</v>
      </c>
      <c r="O187">
        <v>4</v>
      </c>
      <c r="P187" t="s">
        <v>550</v>
      </c>
      <c r="Q187" t="s">
        <v>27</v>
      </c>
      <c r="R187" t="s">
        <v>96</v>
      </c>
    </row>
    <row r="188" spans="1:18" x14ac:dyDescent="0.35">
      <c r="A188" t="s">
        <v>331</v>
      </c>
      <c r="B188" s="9">
        <v>45847</v>
      </c>
      <c r="C188" t="s">
        <v>37</v>
      </c>
      <c r="D188" t="s">
        <v>20</v>
      </c>
      <c r="E188" t="s">
        <v>21</v>
      </c>
      <c r="F188" t="s">
        <v>39</v>
      </c>
      <c r="G188" t="s">
        <v>71</v>
      </c>
      <c r="H188" s="12">
        <v>2</v>
      </c>
      <c r="I188" t="s">
        <v>32</v>
      </c>
      <c r="J188" s="7">
        <v>270000</v>
      </c>
      <c r="K188" s="7">
        <v>0</v>
      </c>
      <c r="L188" s="7">
        <v>270000</v>
      </c>
      <c r="M188" t="s">
        <v>33</v>
      </c>
      <c r="N188" t="s">
        <v>34</v>
      </c>
      <c r="O188">
        <v>3</v>
      </c>
      <c r="P188" t="s">
        <v>550</v>
      </c>
      <c r="Q188" t="s">
        <v>72</v>
      </c>
      <c r="R188" t="s">
        <v>94</v>
      </c>
    </row>
    <row r="189" spans="1:18" x14ac:dyDescent="0.35">
      <c r="A189" t="s">
        <v>332</v>
      </c>
      <c r="B189" s="9">
        <v>45922</v>
      </c>
      <c r="C189" t="s">
        <v>53</v>
      </c>
      <c r="D189" t="s">
        <v>30</v>
      </c>
      <c r="E189" t="s">
        <v>103</v>
      </c>
      <c r="F189" t="s">
        <v>112</v>
      </c>
      <c r="G189" t="s">
        <v>66</v>
      </c>
      <c r="H189" s="12">
        <v>4</v>
      </c>
      <c r="I189" t="s">
        <v>32</v>
      </c>
      <c r="J189" s="7">
        <v>700000</v>
      </c>
      <c r="K189" s="7">
        <v>70000</v>
      </c>
      <c r="L189" s="7">
        <v>630000</v>
      </c>
      <c r="M189" t="s">
        <v>33</v>
      </c>
      <c r="N189" t="s">
        <v>34</v>
      </c>
      <c r="O189">
        <v>3</v>
      </c>
      <c r="P189" t="s">
        <v>550</v>
      </c>
      <c r="Q189" t="s">
        <v>60</v>
      </c>
      <c r="R189" t="s">
        <v>49</v>
      </c>
    </row>
    <row r="190" spans="1:18" x14ac:dyDescent="0.35">
      <c r="A190" t="s">
        <v>334</v>
      </c>
      <c r="B190" s="9">
        <v>45870</v>
      </c>
      <c r="C190" t="s">
        <v>53</v>
      </c>
      <c r="D190" t="s">
        <v>20</v>
      </c>
      <c r="E190" t="s">
        <v>99</v>
      </c>
      <c r="F190" t="s">
        <v>54</v>
      </c>
      <c r="G190" t="s">
        <v>66</v>
      </c>
      <c r="H190" s="12">
        <v>4</v>
      </c>
      <c r="I190" t="s">
        <v>32</v>
      </c>
      <c r="J190" s="7">
        <v>540000</v>
      </c>
      <c r="K190" s="7">
        <v>0</v>
      </c>
      <c r="L190" s="7">
        <v>540000</v>
      </c>
      <c r="M190" t="s">
        <v>42</v>
      </c>
      <c r="N190" t="s">
        <v>26</v>
      </c>
      <c r="O190">
        <v>4</v>
      </c>
      <c r="P190" t="s">
        <v>551</v>
      </c>
      <c r="Q190" t="s">
        <v>43</v>
      </c>
    </row>
    <row r="191" spans="1:18" x14ac:dyDescent="0.35">
      <c r="A191" t="s">
        <v>336</v>
      </c>
      <c r="B191" s="9">
        <v>45964</v>
      </c>
      <c r="C191" t="s">
        <v>45</v>
      </c>
      <c r="D191" t="s">
        <v>20</v>
      </c>
      <c r="E191" t="s">
        <v>21</v>
      </c>
      <c r="F191" t="s">
        <v>549</v>
      </c>
      <c r="G191" t="s">
        <v>47</v>
      </c>
      <c r="H191" s="12">
        <v>1</v>
      </c>
      <c r="I191" t="s">
        <v>55</v>
      </c>
      <c r="J191" s="7">
        <v>160000</v>
      </c>
      <c r="K191" s="7">
        <v>8000</v>
      </c>
      <c r="L191" s="7">
        <v>152000</v>
      </c>
      <c r="M191" t="s">
        <v>78</v>
      </c>
      <c r="N191" t="s">
        <v>34</v>
      </c>
      <c r="O191">
        <v>5</v>
      </c>
      <c r="P191" t="s">
        <v>550</v>
      </c>
      <c r="Q191" t="s">
        <v>43</v>
      </c>
    </row>
    <row r="192" spans="1:18" x14ac:dyDescent="0.35">
      <c r="A192" t="s">
        <v>337</v>
      </c>
      <c r="B192" s="9">
        <v>45725</v>
      </c>
      <c r="C192" t="s">
        <v>58</v>
      </c>
      <c r="D192" t="s">
        <v>20</v>
      </c>
      <c r="E192" t="s">
        <v>103</v>
      </c>
      <c r="F192" t="s">
        <v>112</v>
      </c>
      <c r="G192" t="s">
        <v>71</v>
      </c>
      <c r="H192" s="12">
        <v>1</v>
      </c>
      <c r="I192" t="s">
        <v>55</v>
      </c>
      <c r="J192" s="7">
        <v>160000</v>
      </c>
      <c r="K192" s="7">
        <v>8000</v>
      </c>
      <c r="L192" s="7">
        <v>152000</v>
      </c>
      <c r="M192" t="s">
        <v>42</v>
      </c>
      <c r="N192" t="s">
        <v>56</v>
      </c>
      <c r="O192">
        <v>5</v>
      </c>
      <c r="P192" t="s">
        <v>550</v>
      </c>
      <c r="Q192" t="s">
        <v>43</v>
      </c>
      <c r="R192" t="s">
        <v>49</v>
      </c>
    </row>
    <row r="193" spans="1:18" x14ac:dyDescent="0.35">
      <c r="A193" t="s">
        <v>338</v>
      </c>
      <c r="B193" s="9">
        <v>45925</v>
      </c>
      <c r="C193" t="s">
        <v>69</v>
      </c>
      <c r="D193" t="s">
        <v>59</v>
      </c>
      <c r="E193" t="s">
        <v>38</v>
      </c>
      <c r="F193" t="s">
        <v>112</v>
      </c>
      <c r="G193" t="s">
        <v>66</v>
      </c>
      <c r="H193" s="12">
        <v>1</v>
      </c>
      <c r="I193" t="s">
        <v>24</v>
      </c>
      <c r="J193" s="7">
        <v>140000</v>
      </c>
      <c r="K193" s="7">
        <v>7000</v>
      </c>
      <c r="L193" s="7">
        <v>133000</v>
      </c>
      <c r="M193" t="s">
        <v>78</v>
      </c>
      <c r="N193" t="s">
        <v>34</v>
      </c>
      <c r="O193">
        <v>4</v>
      </c>
      <c r="P193" t="s">
        <v>550</v>
      </c>
      <c r="Q193" t="s">
        <v>72</v>
      </c>
    </row>
    <row r="194" spans="1:18" x14ac:dyDescent="0.35">
      <c r="A194" t="s">
        <v>339</v>
      </c>
      <c r="B194" s="9">
        <v>45924</v>
      </c>
      <c r="C194" t="s">
        <v>58</v>
      </c>
      <c r="D194" t="s">
        <v>30</v>
      </c>
      <c r="E194" t="s">
        <v>21</v>
      </c>
      <c r="F194" t="s">
        <v>39</v>
      </c>
      <c r="G194" t="s">
        <v>40</v>
      </c>
      <c r="H194" s="12">
        <v>2</v>
      </c>
      <c r="I194" t="s">
        <v>41</v>
      </c>
      <c r="J194" s="7">
        <v>320000</v>
      </c>
      <c r="K194" s="7">
        <v>0</v>
      </c>
      <c r="L194" s="7">
        <v>320000</v>
      </c>
      <c r="M194" t="s">
        <v>25</v>
      </c>
      <c r="N194" t="s">
        <v>34</v>
      </c>
      <c r="O194" t="s">
        <v>550</v>
      </c>
      <c r="P194" t="s">
        <v>550</v>
      </c>
      <c r="Q194" t="s">
        <v>27</v>
      </c>
      <c r="R194" t="s">
        <v>49</v>
      </c>
    </row>
    <row r="195" spans="1:18" x14ac:dyDescent="0.35">
      <c r="A195" t="s">
        <v>340</v>
      </c>
      <c r="B195" s="9">
        <v>45815</v>
      </c>
      <c r="C195" t="s">
        <v>45</v>
      </c>
      <c r="D195" t="s">
        <v>59</v>
      </c>
      <c r="E195" t="s">
        <v>21</v>
      </c>
      <c r="F195" t="s">
        <v>54</v>
      </c>
      <c r="G195" t="s">
        <v>23</v>
      </c>
      <c r="H195" s="12">
        <v>1</v>
      </c>
      <c r="I195" t="s">
        <v>32</v>
      </c>
      <c r="J195" s="7">
        <v>190000</v>
      </c>
      <c r="K195" s="7">
        <v>28500</v>
      </c>
      <c r="L195" s="7">
        <v>161500</v>
      </c>
      <c r="M195" t="s">
        <v>25</v>
      </c>
      <c r="N195" t="s">
        <v>26</v>
      </c>
      <c r="O195">
        <v>4</v>
      </c>
      <c r="P195" t="s">
        <v>551</v>
      </c>
      <c r="Q195" t="s">
        <v>43</v>
      </c>
    </row>
    <row r="196" spans="1:18" x14ac:dyDescent="0.35">
      <c r="A196" t="s">
        <v>341</v>
      </c>
      <c r="B196" s="9">
        <v>45965</v>
      </c>
      <c r="C196" t="s">
        <v>69</v>
      </c>
      <c r="D196" t="s">
        <v>20</v>
      </c>
      <c r="E196" t="s">
        <v>38</v>
      </c>
      <c r="F196" t="s">
        <v>549</v>
      </c>
      <c r="G196" t="s">
        <v>23</v>
      </c>
      <c r="H196" s="12">
        <v>2</v>
      </c>
      <c r="I196" t="s">
        <v>32</v>
      </c>
      <c r="J196" s="7">
        <v>270000</v>
      </c>
      <c r="K196" s="7">
        <v>27000</v>
      </c>
      <c r="L196" s="7">
        <v>243000</v>
      </c>
      <c r="M196" t="s">
        <v>25</v>
      </c>
      <c r="N196" t="s">
        <v>26</v>
      </c>
      <c r="O196">
        <v>5</v>
      </c>
      <c r="P196" t="s">
        <v>85</v>
      </c>
      <c r="Q196" t="s">
        <v>72</v>
      </c>
    </row>
    <row r="197" spans="1:18" x14ac:dyDescent="0.35">
      <c r="A197" t="s">
        <v>342</v>
      </c>
      <c r="B197" s="9">
        <v>45964</v>
      </c>
      <c r="C197" t="s">
        <v>45</v>
      </c>
      <c r="D197" t="s">
        <v>80</v>
      </c>
      <c r="E197" t="s">
        <v>21</v>
      </c>
      <c r="F197" t="s">
        <v>39</v>
      </c>
      <c r="G197" t="s">
        <v>71</v>
      </c>
      <c r="H197" s="12">
        <v>1</v>
      </c>
      <c r="I197" t="s">
        <v>24</v>
      </c>
      <c r="J197" s="7">
        <v>190000</v>
      </c>
      <c r="K197" s="7">
        <v>0</v>
      </c>
      <c r="L197" s="7">
        <v>190000</v>
      </c>
      <c r="M197" t="s">
        <v>25</v>
      </c>
      <c r="N197" t="s">
        <v>34</v>
      </c>
      <c r="O197">
        <v>3</v>
      </c>
      <c r="P197" t="s">
        <v>550</v>
      </c>
      <c r="Q197" t="s">
        <v>48</v>
      </c>
    </row>
    <row r="198" spans="1:18" x14ac:dyDescent="0.35">
      <c r="A198" t="s">
        <v>344</v>
      </c>
      <c r="B198" s="9">
        <v>45956</v>
      </c>
      <c r="C198" t="s">
        <v>53</v>
      </c>
      <c r="D198" t="s">
        <v>59</v>
      </c>
      <c r="E198" t="s">
        <v>31</v>
      </c>
      <c r="F198" t="s">
        <v>39</v>
      </c>
      <c r="G198" t="s">
        <v>71</v>
      </c>
      <c r="H198" s="12">
        <v>2</v>
      </c>
      <c r="I198" t="s">
        <v>24</v>
      </c>
      <c r="J198" s="7">
        <v>280000</v>
      </c>
      <c r="K198" s="7">
        <v>0</v>
      </c>
      <c r="L198" s="7">
        <v>280000</v>
      </c>
      <c r="M198" t="s">
        <v>78</v>
      </c>
      <c r="N198" t="s">
        <v>34</v>
      </c>
      <c r="O198">
        <v>4</v>
      </c>
      <c r="P198" t="s">
        <v>550</v>
      </c>
      <c r="Q198" t="s">
        <v>43</v>
      </c>
      <c r="R198" t="s">
        <v>96</v>
      </c>
    </row>
    <row r="199" spans="1:18" x14ac:dyDescent="0.35">
      <c r="A199" t="s">
        <v>345</v>
      </c>
      <c r="B199" s="9">
        <v>45851</v>
      </c>
      <c r="C199" t="s">
        <v>45</v>
      </c>
      <c r="D199" t="s">
        <v>30</v>
      </c>
      <c r="E199" t="s">
        <v>103</v>
      </c>
      <c r="F199" t="s">
        <v>549</v>
      </c>
      <c r="G199" t="s">
        <v>66</v>
      </c>
      <c r="H199" s="12">
        <v>1</v>
      </c>
      <c r="I199" t="s">
        <v>41</v>
      </c>
      <c r="J199" s="7">
        <v>160000</v>
      </c>
      <c r="K199" s="7">
        <v>0</v>
      </c>
      <c r="L199" s="7">
        <v>160000</v>
      </c>
      <c r="M199" t="s">
        <v>25</v>
      </c>
      <c r="N199" t="s">
        <v>34</v>
      </c>
      <c r="O199">
        <v>4</v>
      </c>
      <c r="P199" t="s">
        <v>550</v>
      </c>
      <c r="Q199" t="s">
        <v>43</v>
      </c>
      <c r="R199" t="s">
        <v>94</v>
      </c>
    </row>
    <row r="200" spans="1:18" x14ac:dyDescent="0.35">
      <c r="A200" t="s">
        <v>346</v>
      </c>
      <c r="B200" s="9">
        <v>46002</v>
      </c>
      <c r="C200" t="s">
        <v>53</v>
      </c>
      <c r="D200" t="s">
        <v>20</v>
      </c>
      <c r="E200" t="s">
        <v>90</v>
      </c>
      <c r="F200" t="s">
        <v>39</v>
      </c>
      <c r="G200" t="s">
        <v>66</v>
      </c>
      <c r="H200" s="12">
        <v>1</v>
      </c>
      <c r="I200" t="s">
        <v>55</v>
      </c>
      <c r="J200" s="7">
        <v>160000</v>
      </c>
      <c r="K200" s="7">
        <v>24000</v>
      </c>
      <c r="L200" s="7">
        <v>136000</v>
      </c>
      <c r="M200" t="s">
        <v>42</v>
      </c>
      <c r="N200" t="s">
        <v>56</v>
      </c>
      <c r="O200">
        <v>5</v>
      </c>
      <c r="P200" t="s">
        <v>550</v>
      </c>
      <c r="Q200" t="s">
        <v>72</v>
      </c>
    </row>
    <row r="201" spans="1:18" x14ac:dyDescent="0.35">
      <c r="A201" t="s">
        <v>347</v>
      </c>
      <c r="B201" s="9">
        <v>46004</v>
      </c>
      <c r="C201" t="s">
        <v>69</v>
      </c>
      <c r="D201" t="s">
        <v>80</v>
      </c>
      <c r="E201" t="s">
        <v>38</v>
      </c>
      <c r="F201" t="s">
        <v>112</v>
      </c>
      <c r="G201" t="s">
        <v>47</v>
      </c>
      <c r="H201" s="12">
        <v>1</v>
      </c>
      <c r="I201" t="s">
        <v>32</v>
      </c>
      <c r="J201" s="7">
        <v>240000</v>
      </c>
      <c r="K201" s="7">
        <v>24000</v>
      </c>
      <c r="L201" s="7">
        <v>216000</v>
      </c>
      <c r="M201" t="s">
        <v>33</v>
      </c>
      <c r="N201" t="s">
        <v>56</v>
      </c>
      <c r="O201" t="s">
        <v>550</v>
      </c>
      <c r="P201" t="s">
        <v>550</v>
      </c>
      <c r="Q201" t="s">
        <v>48</v>
      </c>
    </row>
    <row r="202" spans="1:18" x14ac:dyDescent="0.35">
      <c r="A202" t="s">
        <v>349</v>
      </c>
      <c r="B202" s="9">
        <v>45674</v>
      </c>
      <c r="C202" t="s">
        <v>45</v>
      </c>
      <c r="D202" t="s">
        <v>59</v>
      </c>
      <c r="E202" t="s">
        <v>99</v>
      </c>
      <c r="F202" t="s">
        <v>39</v>
      </c>
      <c r="G202" t="s">
        <v>66</v>
      </c>
      <c r="H202" s="12">
        <v>3</v>
      </c>
      <c r="I202" t="s">
        <v>24</v>
      </c>
      <c r="J202" s="7">
        <v>420000</v>
      </c>
      <c r="K202" s="7">
        <v>0</v>
      </c>
      <c r="L202" s="7">
        <v>420000</v>
      </c>
      <c r="M202" t="s">
        <v>78</v>
      </c>
      <c r="N202" t="s">
        <v>34</v>
      </c>
      <c r="O202">
        <v>5</v>
      </c>
      <c r="P202" t="s">
        <v>550</v>
      </c>
      <c r="Q202" t="s">
        <v>43</v>
      </c>
    </row>
    <row r="203" spans="1:18" x14ac:dyDescent="0.35">
      <c r="A203" t="s">
        <v>350</v>
      </c>
      <c r="B203" s="9">
        <v>45765</v>
      </c>
      <c r="C203" t="s">
        <v>69</v>
      </c>
      <c r="D203" t="s">
        <v>59</v>
      </c>
      <c r="E203" t="s">
        <v>31</v>
      </c>
      <c r="F203" t="s">
        <v>54</v>
      </c>
      <c r="G203" t="s">
        <v>40</v>
      </c>
      <c r="H203" s="12">
        <v>3</v>
      </c>
      <c r="I203" t="s">
        <v>55</v>
      </c>
      <c r="J203" s="7">
        <v>645000</v>
      </c>
      <c r="K203" s="7">
        <v>0</v>
      </c>
      <c r="L203" s="7">
        <v>645000</v>
      </c>
      <c r="M203" t="s">
        <v>42</v>
      </c>
      <c r="N203" t="s">
        <v>56</v>
      </c>
      <c r="O203">
        <v>5</v>
      </c>
      <c r="P203" t="s">
        <v>550</v>
      </c>
      <c r="Q203" t="s">
        <v>48</v>
      </c>
    </row>
    <row r="204" spans="1:18" x14ac:dyDescent="0.35">
      <c r="A204" t="s">
        <v>352</v>
      </c>
      <c r="B204" s="9">
        <v>45931</v>
      </c>
      <c r="C204" t="s">
        <v>53</v>
      </c>
      <c r="D204" t="s">
        <v>30</v>
      </c>
      <c r="E204" t="s">
        <v>31</v>
      </c>
      <c r="F204" t="s">
        <v>549</v>
      </c>
      <c r="G204" t="s">
        <v>71</v>
      </c>
      <c r="H204" s="12">
        <v>1</v>
      </c>
      <c r="I204" t="s">
        <v>55</v>
      </c>
      <c r="J204" s="7">
        <v>200000</v>
      </c>
      <c r="K204" s="7">
        <v>0</v>
      </c>
      <c r="L204" s="7">
        <v>200000</v>
      </c>
      <c r="M204" t="s">
        <v>25</v>
      </c>
      <c r="N204" t="s">
        <v>34</v>
      </c>
      <c r="O204">
        <v>4</v>
      </c>
      <c r="P204" t="s">
        <v>550</v>
      </c>
      <c r="Q204" t="s">
        <v>27</v>
      </c>
      <c r="R204" t="s">
        <v>35</v>
      </c>
    </row>
    <row r="205" spans="1:18" x14ac:dyDescent="0.35">
      <c r="A205" t="s">
        <v>353</v>
      </c>
      <c r="B205" s="9">
        <v>46005</v>
      </c>
      <c r="C205" t="s">
        <v>45</v>
      </c>
      <c r="D205" t="s">
        <v>46</v>
      </c>
      <c r="E205" t="s">
        <v>90</v>
      </c>
      <c r="F205" t="s">
        <v>112</v>
      </c>
      <c r="G205" t="s">
        <v>71</v>
      </c>
      <c r="H205" s="12">
        <v>1</v>
      </c>
      <c r="I205" t="s">
        <v>32</v>
      </c>
      <c r="J205" s="7">
        <v>225000</v>
      </c>
      <c r="K205" s="7">
        <v>33750</v>
      </c>
      <c r="L205" s="7">
        <v>191250</v>
      </c>
      <c r="M205" t="s">
        <v>33</v>
      </c>
      <c r="N205" t="s">
        <v>34</v>
      </c>
      <c r="O205">
        <v>4</v>
      </c>
      <c r="P205" t="s">
        <v>550</v>
      </c>
      <c r="Q205" t="s">
        <v>72</v>
      </c>
    </row>
    <row r="206" spans="1:18" x14ac:dyDescent="0.35">
      <c r="A206" t="s">
        <v>354</v>
      </c>
      <c r="B206" s="9">
        <v>45698</v>
      </c>
      <c r="C206" t="s">
        <v>37</v>
      </c>
      <c r="D206" t="s">
        <v>59</v>
      </c>
      <c r="E206" t="s">
        <v>103</v>
      </c>
      <c r="F206" t="s">
        <v>549</v>
      </c>
      <c r="G206" t="s">
        <v>40</v>
      </c>
      <c r="H206" s="12">
        <v>3</v>
      </c>
      <c r="I206" t="s">
        <v>32</v>
      </c>
      <c r="J206" s="7">
        <v>570000</v>
      </c>
      <c r="K206" s="7">
        <v>0</v>
      </c>
      <c r="L206" s="7">
        <v>570000</v>
      </c>
      <c r="M206" t="s">
        <v>33</v>
      </c>
      <c r="N206" t="s">
        <v>56</v>
      </c>
      <c r="O206">
        <v>4</v>
      </c>
      <c r="P206" t="s">
        <v>550</v>
      </c>
      <c r="Q206" t="s">
        <v>72</v>
      </c>
      <c r="R206" t="s">
        <v>35</v>
      </c>
    </row>
    <row r="207" spans="1:18" x14ac:dyDescent="0.35">
      <c r="A207" t="s">
        <v>356</v>
      </c>
      <c r="B207" s="9">
        <v>45765</v>
      </c>
      <c r="C207" t="s">
        <v>37</v>
      </c>
      <c r="D207" t="s">
        <v>30</v>
      </c>
      <c r="E207" t="s">
        <v>38</v>
      </c>
      <c r="F207" t="s">
        <v>84</v>
      </c>
      <c r="G207" t="s">
        <v>47</v>
      </c>
      <c r="H207" s="12">
        <v>1</v>
      </c>
      <c r="I207" t="s">
        <v>24</v>
      </c>
      <c r="J207" s="7">
        <v>125000</v>
      </c>
      <c r="K207" s="7">
        <v>6250</v>
      </c>
      <c r="L207" s="7">
        <v>118750</v>
      </c>
      <c r="M207" t="s">
        <v>78</v>
      </c>
      <c r="N207" t="s">
        <v>56</v>
      </c>
      <c r="O207">
        <v>5</v>
      </c>
      <c r="P207" t="s">
        <v>550</v>
      </c>
      <c r="Q207" t="s">
        <v>60</v>
      </c>
      <c r="R207" t="s">
        <v>35</v>
      </c>
    </row>
    <row r="208" spans="1:18" x14ac:dyDescent="0.35">
      <c r="A208" t="s">
        <v>358</v>
      </c>
      <c r="B208" s="9">
        <v>45725</v>
      </c>
      <c r="C208" t="s">
        <v>45</v>
      </c>
      <c r="D208" t="s">
        <v>46</v>
      </c>
      <c r="E208" t="s">
        <v>38</v>
      </c>
      <c r="F208" t="s">
        <v>84</v>
      </c>
      <c r="G208" t="s">
        <v>40</v>
      </c>
      <c r="H208" s="12">
        <v>2</v>
      </c>
      <c r="I208" t="s">
        <v>41</v>
      </c>
      <c r="J208" s="7">
        <v>420000</v>
      </c>
      <c r="K208" s="7">
        <v>42000</v>
      </c>
      <c r="L208" s="7">
        <v>378000</v>
      </c>
      <c r="M208" t="s">
        <v>33</v>
      </c>
      <c r="N208" t="s">
        <v>34</v>
      </c>
      <c r="O208">
        <v>4</v>
      </c>
      <c r="P208" t="s">
        <v>550</v>
      </c>
      <c r="Q208" t="s">
        <v>27</v>
      </c>
    </row>
    <row r="209" spans="1:18" x14ac:dyDescent="0.35">
      <c r="A209" t="s">
        <v>359</v>
      </c>
      <c r="B209" s="9">
        <v>45904</v>
      </c>
      <c r="C209" t="s">
        <v>45</v>
      </c>
      <c r="D209" t="s">
        <v>46</v>
      </c>
      <c r="E209" t="s">
        <v>38</v>
      </c>
      <c r="F209" t="s">
        <v>54</v>
      </c>
      <c r="G209" t="s">
        <v>40</v>
      </c>
      <c r="H209" s="12">
        <v>1</v>
      </c>
      <c r="I209" t="s">
        <v>24</v>
      </c>
      <c r="J209" s="7">
        <v>175000</v>
      </c>
      <c r="K209" s="7">
        <v>0</v>
      </c>
      <c r="L209" s="7">
        <v>175000</v>
      </c>
      <c r="M209" t="s">
        <v>33</v>
      </c>
      <c r="N209" t="s">
        <v>34</v>
      </c>
      <c r="O209">
        <v>5</v>
      </c>
      <c r="P209" t="s">
        <v>550</v>
      </c>
      <c r="Q209" t="s">
        <v>48</v>
      </c>
      <c r="R209" t="s">
        <v>35</v>
      </c>
    </row>
    <row r="210" spans="1:18" x14ac:dyDescent="0.35">
      <c r="A210" t="s">
        <v>360</v>
      </c>
      <c r="B210" s="9">
        <v>45776</v>
      </c>
      <c r="C210" t="s">
        <v>58</v>
      </c>
      <c r="D210" t="s">
        <v>80</v>
      </c>
      <c r="E210" t="s">
        <v>31</v>
      </c>
      <c r="F210" t="s">
        <v>39</v>
      </c>
      <c r="G210" t="s">
        <v>66</v>
      </c>
      <c r="H210" s="12">
        <v>1</v>
      </c>
      <c r="I210" t="s">
        <v>55</v>
      </c>
      <c r="J210" s="7">
        <v>265000</v>
      </c>
      <c r="K210" s="7">
        <v>39750</v>
      </c>
      <c r="L210" s="7">
        <v>225250</v>
      </c>
      <c r="M210" t="s">
        <v>78</v>
      </c>
      <c r="N210" t="s">
        <v>34</v>
      </c>
      <c r="O210">
        <v>5</v>
      </c>
      <c r="P210" t="s">
        <v>550</v>
      </c>
      <c r="Q210" t="s">
        <v>48</v>
      </c>
      <c r="R210" t="s">
        <v>94</v>
      </c>
    </row>
    <row r="211" spans="1:18" x14ac:dyDescent="0.35">
      <c r="A211" t="s">
        <v>361</v>
      </c>
      <c r="B211" s="9">
        <v>45795</v>
      </c>
      <c r="C211" t="s">
        <v>69</v>
      </c>
      <c r="D211" t="s">
        <v>46</v>
      </c>
      <c r="E211" t="s">
        <v>38</v>
      </c>
      <c r="F211" t="s">
        <v>39</v>
      </c>
      <c r="G211" t="s">
        <v>23</v>
      </c>
      <c r="H211" s="12">
        <v>2</v>
      </c>
      <c r="I211" t="s">
        <v>41</v>
      </c>
      <c r="J211" s="7">
        <v>420000</v>
      </c>
      <c r="K211" s="7">
        <v>63000</v>
      </c>
      <c r="L211" s="7">
        <v>357000</v>
      </c>
      <c r="M211" t="s">
        <v>78</v>
      </c>
      <c r="N211" t="s">
        <v>56</v>
      </c>
      <c r="O211">
        <v>5</v>
      </c>
      <c r="P211" t="s">
        <v>550</v>
      </c>
      <c r="Q211" t="s">
        <v>72</v>
      </c>
      <c r="R211" t="s">
        <v>96</v>
      </c>
    </row>
    <row r="212" spans="1:18" x14ac:dyDescent="0.35">
      <c r="A212" t="s">
        <v>362</v>
      </c>
      <c r="B212" s="9">
        <v>45777</v>
      </c>
      <c r="C212" t="s">
        <v>58</v>
      </c>
      <c r="D212" t="s">
        <v>46</v>
      </c>
      <c r="E212" t="s">
        <v>38</v>
      </c>
      <c r="F212" t="s">
        <v>54</v>
      </c>
      <c r="G212" t="s">
        <v>23</v>
      </c>
      <c r="H212" s="12">
        <v>1</v>
      </c>
      <c r="I212" t="s">
        <v>32</v>
      </c>
      <c r="J212" s="7">
        <v>225000</v>
      </c>
      <c r="K212" s="7">
        <v>33750</v>
      </c>
      <c r="L212" s="7">
        <v>191250</v>
      </c>
      <c r="M212" t="s">
        <v>33</v>
      </c>
      <c r="N212" t="s">
        <v>34</v>
      </c>
      <c r="O212" t="s">
        <v>550</v>
      </c>
      <c r="P212" t="s">
        <v>550</v>
      </c>
      <c r="Q212" t="s">
        <v>27</v>
      </c>
    </row>
    <row r="213" spans="1:18" x14ac:dyDescent="0.35">
      <c r="A213" t="s">
        <v>364</v>
      </c>
      <c r="B213" s="9">
        <v>45853</v>
      </c>
      <c r="C213" t="s">
        <v>58</v>
      </c>
      <c r="D213" t="s">
        <v>20</v>
      </c>
      <c r="E213" t="s">
        <v>21</v>
      </c>
      <c r="F213" t="s">
        <v>39</v>
      </c>
      <c r="G213" t="s">
        <v>66</v>
      </c>
      <c r="H213" s="12">
        <v>3</v>
      </c>
      <c r="I213" t="s">
        <v>24</v>
      </c>
      <c r="J213" s="7">
        <v>255000</v>
      </c>
      <c r="K213" s="7">
        <v>0</v>
      </c>
      <c r="L213" s="7">
        <v>255000</v>
      </c>
      <c r="M213" t="s">
        <v>78</v>
      </c>
      <c r="N213" t="s">
        <v>34</v>
      </c>
      <c r="O213">
        <v>4</v>
      </c>
      <c r="P213" t="s">
        <v>550</v>
      </c>
      <c r="Q213" t="s">
        <v>48</v>
      </c>
      <c r="R213" t="s">
        <v>94</v>
      </c>
    </row>
    <row r="214" spans="1:18" x14ac:dyDescent="0.35">
      <c r="A214" t="s">
        <v>365</v>
      </c>
      <c r="B214" s="9">
        <v>45720</v>
      </c>
      <c r="C214" t="s">
        <v>53</v>
      </c>
      <c r="D214" t="s">
        <v>30</v>
      </c>
      <c r="E214" t="s">
        <v>21</v>
      </c>
      <c r="F214" t="s">
        <v>549</v>
      </c>
      <c r="G214" t="s">
        <v>23</v>
      </c>
      <c r="H214" s="12">
        <v>1</v>
      </c>
      <c r="I214" t="s">
        <v>24</v>
      </c>
      <c r="J214" s="7">
        <v>125000</v>
      </c>
      <c r="K214" s="7">
        <v>0</v>
      </c>
      <c r="L214" s="7">
        <v>125000</v>
      </c>
      <c r="M214" t="s">
        <v>25</v>
      </c>
      <c r="N214" t="s">
        <v>26</v>
      </c>
      <c r="O214">
        <v>5</v>
      </c>
      <c r="P214" t="s">
        <v>259</v>
      </c>
      <c r="Q214" t="s">
        <v>48</v>
      </c>
    </row>
    <row r="215" spans="1:18" x14ac:dyDescent="0.35">
      <c r="A215" t="s">
        <v>366</v>
      </c>
      <c r="B215" s="9">
        <v>45737</v>
      </c>
      <c r="C215" t="s">
        <v>53</v>
      </c>
      <c r="D215" t="s">
        <v>20</v>
      </c>
      <c r="E215" t="s">
        <v>103</v>
      </c>
      <c r="F215" t="s">
        <v>39</v>
      </c>
      <c r="G215" t="s">
        <v>66</v>
      </c>
      <c r="H215" s="12">
        <v>1</v>
      </c>
      <c r="I215" t="s">
        <v>24</v>
      </c>
      <c r="J215" s="7">
        <v>85000</v>
      </c>
      <c r="K215" s="7">
        <v>0</v>
      </c>
      <c r="L215" s="7">
        <v>85000</v>
      </c>
      <c r="M215" t="s">
        <v>33</v>
      </c>
      <c r="N215" t="s">
        <v>26</v>
      </c>
      <c r="O215">
        <v>5</v>
      </c>
      <c r="P215" t="s">
        <v>551</v>
      </c>
      <c r="Q215" t="s">
        <v>43</v>
      </c>
      <c r="R215" t="s">
        <v>94</v>
      </c>
    </row>
    <row r="216" spans="1:18" x14ac:dyDescent="0.35">
      <c r="A216" t="s">
        <v>367</v>
      </c>
      <c r="B216" s="9">
        <v>45841</v>
      </c>
      <c r="C216" t="s">
        <v>37</v>
      </c>
      <c r="D216" t="s">
        <v>59</v>
      </c>
      <c r="E216" t="s">
        <v>38</v>
      </c>
      <c r="F216" t="s">
        <v>54</v>
      </c>
      <c r="G216" t="s">
        <v>66</v>
      </c>
      <c r="H216" s="12">
        <v>2</v>
      </c>
      <c r="I216" t="s">
        <v>55</v>
      </c>
      <c r="J216" s="7">
        <v>430000</v>
      </c>
      <c r="K216" s="7">
        <v>43000</v>
      </c>
      <c r="L216" s="7">
        <v>387000</v>
      </c>
      <c r="M216" t="s">
        <v>78</v>
      </c>
      <c r="N216" t="s">
        <v>34</v>
      </c>
      <c r="O216">
        <v>4</v>
      </c>
      <c r="P216" t="s">
        <v>550</v>
      </c>
      <c r="Q216" t="s">
        <v>27</v>
      </c>
    </row>
    <row r="217" spans="1:18" x14ac:dyDescent="0.35">
      <c r="A217" t="s">
        <v>369</v>
      </c>
      <c r="B217" s="9">
        <v>45890</v>
      </c>
      <c r="C217" t="s">
        <v>58</v>
      </c>
      <c r="D217" t="s">
        <v>80</v>
      </c>
      <c r="E217" t="s">
        <v>99</v>
      </c>
      <c r="F217" t="s">
        <v>39</v>
      </c>
      <c r="G217" t="s">
        <v>47</v>
      </c>
      <c r="H217" s="12">
        <v>1</v>
      </c>
      <c r="I217" t="s">
        <v>41</v>
      </c>
      <c r="J217" s="7">
        <v>225000</v>
      </c>
      <c r="K217" s="7">
        <v>33750</v>
      </c>
      <c r="L217" s="7">
        <v>191250</v>
      </c>
      <c r="M217" t="s">
        <v>33</v>
      </c>
      <c r="N217" t="s">
        <v>56</v>
      </c>
      <c r="O217">
        <v>3</v>
      </c>
      <c r="P217" t="s">
        <v>550</v>
      </c>
      <c r="Q217" t="s">
        <v>72</v>
      </c>
      <c r="R217" t="s">
        <v>94</v>
      </c>
    </row>
    <row r="218" spans="1:18" x14ac:dyDescent="0.35">
      <c r="A218" t="s">
        <v>370</v>
      </c>
      <c r="B218" s="9">
        <v>45680</v>
      </c>
      <c r="C218" t="s">
        <v>37</v>
      </c>
      <c r="D218" t="s">
        <v>46</v>
      </c>
      <c r="E218" t="s">
        <v>38</v>
      </c>
      <c r="F218" t="s">
        <v>39</v>
      </c>
      <c r="G218" t="s">
        <v>47</v>
      </c>
      <c r="H218" s="12">
        <v>2</v>
      </c>
      <c r="I218" t="s">
        <v>32</v>
      </c>
      <c r="J218" s="7">
        <v>450000</v>
      </c>
      <c r="K218" s="7">
        <v>67500</v>
      </c>
      <c r="L218" s="7">
        <v>382500</v>
      </c>
      <c r="M218" t="s">
        <v>25</v>
      </c>
      <c r="N218" t="s">
        <v>34</v>
      </c>
      <c r="O218">
        <v>4</v>
      </c>
      <c r="P218" t="s">
        <v>550</v>
      </c>
      <c r="Q218" t="s">
        <v>43</v>
      </c>
      <c r="R218" t="s">
        <v>49</v>
      </c>
    </row>
    <row r="219" spans="1:18" x14ac:dyDescent="0.35">
      <c r="A219" t="s">
        <v>371</v>
      </c>
      <c r="B219" s="9">
        <v>45985</v>
      </c>
      <c r="C219" t="s">
        <v>58</v>
      </c>
      <c r="D219" t="s">
        <v>59</v>
      </c>
      <c r="E219" t="s">
        <v>90</v>
      </c>
      <c r="F219" t="s">
        <v>54</v>
      </c>
      <c r="G219" t="s">
        <v>40</v>
      </c>
      <c r="H219" s="12">
        <v>1</v>
      </c>
      <c r="I219" t="s">
        <v>24</v>
      </c>
      <c r="J219" s="7">
        <v>140000</v>
      </c>
      <c r="K219" s="7">
        <v>21000</v>
      </c>
      <c r="L219" s="7">
        <v>119000</v>
      </c>
      <c r="M219" t="s">
        <v>25</v>
      </c>
      <c r="N219" t="s">
        <v>56</v>
      </c>
      <c r="O219">
        <v>3</v>
      </c>
      <c r="P219" t="s">
        <v>550</v>
      </c>
      <c r="Q219" t="s">
        <v>60</v>
      </c>
      <c r="R219" t="s">
        <v>35</v>
      </c>
    </row>
    <row r="220" spans="1:18" x14ac:dyDescent="0.35">
      <c r="A220" t="s">
        <v>372</v>
      </c>
      <c r="B220" s="9">
        <v>45943</v>
      </c>
      <c r="C220" t="s">
        <v>45</v>
      </c>
      <c r="D220" t="s">
        <v>30</v>
      </c>
      <c r="E220" t="s">
        <v>21</v>
      </c>
      <c r="F220" t="s">
        <v>84</v>
      </c>
      <c r="G220" t="s">
        <v>71</v>
      </c>
      <c r="H220" s="12">
        <v>3</v>
      </c>
      <c r="I220" t="s">
        <v>32</v>
      </c>
      <c r="J220" s="7">
        <v>525000</v>
      </c>
      <c r="K220" s="7">
        <v>0</v>
      </c>
      <c r="L220" s="7">
        <v>525000</v>
      </c>
      <c r="M220" t="s">
        <v>78</v>
      </c>
      <c r="N220" t="s">
        <v>26</v>
      </c>
      <c r="O220">
        <v>4</v>
      </c>
      <c r="P220" t="s">
        <v>183</v>
      </c>
      <c r="Q220" t="s">
        <v>43</v>
      </c>
    </row>
    <row r="221" spans="1:18" x14ac:dyDescent="0.35">
      <c r="A221" t="s">
        <v>373</v>
      </c>
      <c r="B221" s="9">
        <v>45982</v>
      </c>
      <c r="C221" t="s">
        <v>69</v>
      </c>
      <c r="D221" t="s">
        <v>59</v>
      </c>
      <c r="E221" t="s">
        <v>90</v>
      </c>
      <c r="F221" t="s">
        <v>39</v>
      </c>
      <c r="G221" t="s">
        <v>71</v>
      </c>
      <c r="H221" s="12">
        <v>3</v>
      </c>
      <c r="I221" t="s">
        <v>41</v>
      </c>
      <c r="J221" s="7">
        <v>525000</v>
      </c>
      <c r="K221" s="7">
        <v>0</v>
      </c>
      <c r="L221" s="7">
        <v>525000</v>
      </c>
      <c r="M221" t="s">
        <v>78</v>
      </c>
      <c r="N221" t="s">
        <v>56</v>
      </c>
      <c r="O221">
        <v>4</v>
      </c>
      <c r="P221" t="s">
        <v>550</v>
      </c>
      <c r="Q221" t="s">
        <v>72</v>
      </c>
      <c r="R221" t="s">
        <v>96</v>
      </c>
    </row>
    <row r="222" spans="1:18" x14ac:dyDescent="0.35">
      <c r="A222" t="s">
        <v>375</v>
      </c>
      <c r="B222" s="9">
        <v>45811</v>
      </c>
      <c r="C222" t="s">
        <v>37</v>
      </c>
      <c r="D222" t="s">
        <v>46</v>
      </c>
      <c r="E222" t="s">
        <v>31</v>
      </c>
      <c r="F222" t="s">
        <v>84</v>
      </c>
      <c r="G222" t="s">
        <v>40</v>
      </c>
      <c r="H222" s="12">
        <v>1</v>
      </c>
      <c r="I222" t="s">
        <v>32</v>
      </c>
      <c r="J222" s="7">
        <v>225000</v>
      </c>
      <c r="K222" s="7">
        <v>0</v>
      </c>
      <c r="L222" s="7">
        <v>225000</v>
      </c>
      <c r="M222" t="s">
        <v>42</v>
      </c>
      <c r="N222" t="s">
        <v>34</v>
      </c>
      <c r="O222">
        <v>4</v>
      </c>
      <c r="P222" t="s">
        <v>550</v>
      </c>
      <c r="Q222" t="s">
        <v>43</v>
      </c>
    </row>
    <row r="223" spans="1:18" x14ac:dyDescent="0.35">
      <c r="A223" t="s">
        <v>376</v>
      </c>
      <c r="B223" s="9">
        <v>45746</v>
      </c>
      <c r="C223" t="s">
        <v>69</v>
      </c>
      <c r="D223" t="s">
        <v>80</v>
      </c>
      <c r="E223" t="s">
        <v>38</v>
      </c>
      <c r="F223" t="s">
        <v>112</v>
      </c>
      <c r="G223" t="s">
        <v>40</v>
      </c>
      <c r="H223" s="12">
        <v>2</v>
      </c>
      <c r="I223" t="s">
        <v>24</v>
      </c>
      <c r="J223" s="7">
        <v>380000</v>
      </c>
      <c r="K223" s="7">
        <v>0</v>
      </c>
      <c r="L223" s="7">
        <v>380000</v>
      </c>
      <c r="M223" t="s">
        <v>550</v>
      </c>
      <c r="N223" t="s">
        <v>56</v>
      </c>
      <c r="O223" t="s">
        <v>550</v>
      </c>
      <c r="P223" t="s">
        <v>550</v>
      </c>
      <c r="Q223" t="s">
        <v>43</v>
      </c>
    </row>
    <row r="224" spans="1:18" x14ac:dyDescent="0.35">
      <c r="A224" t="s">
        <v>377</v>
      </c>
      <c r="B224" s="9">
        <v>45685</v>
      </c>
      <c r="C224" t="s">
        <v>53</v>
      </c>
      <c r="D224" t="s">
        <v>80</v>
      </c>
      <c r="E224" t="s">
        <v>38</v>
      </c>
      <c r="F224" t="s">
        <v>549</v>
      </c>
      <c r="G224" t="s">
        <v>71</v>
      </c>
      <c r="H224" s="12">
        <v>3</v>
      </c>
      <c r="I224" t="s">
        <v>55</v>
      </c>
      <c r="J224" s="7">
        <v>795000</v>
      </c>
      <c r="K224" s="7">
        <v>0</v>
      </c>
      <c r="L224" s="7">
        <v>795000</v>
      </c>
      <c r="M224" t="s">
        <v>33</v>
      </c>
      <c r="N224" t="s">
        <v>56</v>
      </c>
      <c r="O224">
        <v>3</v>
      </c>
      <c r="P224" t="s">
        <v>550</v>
      </c>
      <c r="Q224" t="s">
        <v>48</v>
      </c>
      <c r="R224" t="s">
        <v>94</v>
      </c>
    </row>
    <row r="225" spans="1:18" x14ac:dyDescent="0.35">
      <c r="A225" t="s">
        <v>378</v>
      </c>
      <c r="B225" s="9">
        <v>45683</v>
      </c>
      <c r="C225" t="s">
        <v>45</v>
      </c>
      <c r="D225" t="s">
        <v>30</v>
      </c>
      <c r="E225" t="s">
        <v>31</v>
      </c>
      <c r="F225" t="s">
        <v>84</v>
      </c>
      <c r="G225" t="s">
        <v>66</v>
      </c>
      <c r="H225" s="12">
        <v>2</v>
      </c>
      <c r="I225" t="s">
        <v>55</v>
      </c>
      <c r="J225" s="7">
        <v>400000</v>
      </c>
      <c r="K225" s="7">
        <v>20000</v>
      </c>
      <c r="L225" s="7">
        <v>380000</v>
      </c>
      <c r="M225" t="s">
        <v>42</v>
      </c>
      <c r="N225" t="s">
        <v>34</v>
      </c>
      <c r="O225">
        <v>4</v>
      </c>
      <c r="P225" t="s">
        <v>550</v>
      </c>
      <c r="Q225" t="s">
        <v>43</v>
      </c>
      <c r="R225" t="s">
        <v>94</v>
      </c>
    </row>
    <row r="226" spans="1:18" x14ac:dyDescent="0.35">
      <c r="A226" t="s">
        <v>379</v>
      </c>
      <c r="B226" s="9">
        <v>45874</v>
      </c>
      <c r="C226" t="s">
        <v>53</v>
      </c>
      <c r="D226" t="s">
        <v>59</v>
      </c>
      <c r="E226" t="s">
        <v>103</v>
      </c>
      <c r="F226" t="s">
        <v>549</v>
      </c>
      <c r="G226" t="s">
        <v>40</v>
      </c>
      <c r="H226" s="12">
        <v>1</v>
      </c>
      <c r="I226" t="s">
        <v>41</v>
      </c>
      <c r="J226" s="7">
        <v>175000</v>
      </c>
      <c r="K226" s="7">
        <v>17500</v>
      </c>
      <c r="L226" s="7">
        <v>157500</v>
      </c>
      <c r="M226" t="s">
        <v>25</v>
      </c>
      <c r="N226" t="s">
        <v>34</v>
      </c>
      <c r="O226" t="s">
        <v>550</v>
      </c>
      <c r="P226" t="s">
        <v>550</v>
      </c>
      <c r="Q226" t="s">
        <v>48</v>
      </c>
      <c r="R226" t="s">
        <v>35</v>
      </c>
    </row>
    <row r="227" spans="1:18" x14ac:dyDescent="0.35">
      <c r="A227" t="s">
        <v>381</v>
      </c>
      <c r="B227" s="9">
        <v>45733</v>
      </c>
      <c r="C227" t="s">
        <v>53</v>
      </c>
      <c r="D227" t="s">
        <v>20</v>
      </c>
      <c r="E227" t="s">
        <v>31</v>
      </c>
      <c r="F227" t="s">
        <v>84</v>
      </c>
      <c r="G227" t="s">
        <v>40</v>
      </c>
      <c r="H227" s="12">
        <v>1</v>
      </c>
      <c r="I227" t="s">
        <v>55</v>
      </c>
      <c r="J227" s="7">
        <v>160000</v>
      </c>
      <c r="K227" s="7">
        <v>0</v>
      </c>
      <c r="L227" s="7">
        <v>160000</v>
      </c>
      <c r="M227" t="s">
        <v>25</v>
      </c>
      <c r="N227" t="s">
        <v>34</v>
      </c>
      <c r="O227">
        <v>5</v>
      </c>
      <c r="P227" t="s">
        <v>550</v>
      </c>
      <c r="Q227" t="s">
        <v>72</v>
      </c>
      <c r="R227" t="s">
        <v>49</v>
      </c>
    </row>
    <row r="228" spans="1:18" x14ac:dyDescent="0.35">
      <c r="A228" t="s">
        <v>382</v>
      </c>
      <c r="B228" s="9">
        <v>45803</v>
      </c>
      <c r="C228" t="s">
        <v>37</v>
      </c>
      <c r="D228" t="s">
        <v>80</v>
      </c>
      <c r="E228" t="s">
        <v>31</v>
      </c>
      <c r="F228" t="s">
        <v>84</v>
      </c>
      <c r="G228" t="s">
        <v>66</v>
      </c>
      <c r="H228" s="12">
        <v>2</v>
      </c>
      <c r="I228" t="s">
        <v>41</v>
      </c>
      <c r="J228" s="7">
        <v>450000</v>
      </c>
      <c r="K228" s="7">
        <v>67500</v>
      </c>
      <c r="L228" s="7">
        <v>382500</v>
      </c>
      <c r="M228" t="s">
        <v>25</v>
      </c>
      <c r="N228" t="s">
        <v>34</v>
      </c>
      <c r="O228" t="s">
        <v>550</v>
      </c>
      <c r="P228" t="s">
        <v>550</v>
      </c>
      <c r="Q228" t="s">
        <v>48</v>
      </c>
      <c r="R228" t="s">
        <v>94</v>
      </c>
    </row>
    <row r="229" spans="1:18" x14ac:dyDescent="0.35">
      <c r="A229" t="s">
        <v>383</v>
      </c>
      <c r="B229" s="9">
        <v>45930</v>
      </c>
      <c r="C229" t="s">
        <v>58</v>
      </c>
      <c r="D229" t="s">
        <v>46</v>
      </c>
      <c r="E229" t="s">
        <v>103</v>
      </c>
      <c r="F229" t="s">
        <v>112</v>
      </c>
      <c r="G229" t="s">
        <v>66</v>
      </c>
      <c r="H229" s="12">
        <v>1</v>
      </c>
      <c r="I229" t="s">
        <v>41</v>
      </c>
      <c r="J229" s="7">
        <v>210000</v>
      </c>
      <c r="K229" s="7">
        <v>0</v>
      </c>
      <c r="L229" s="7">
        <v>210000</v>
      </c>
      <c r="M229" t="s">
        <v>25</v>
      </c>
      <c r="N229" t="s">
        <v>34</v>
      </c>
      <c r="O229">
        <v>4</v>
      </c>
      <c r="P229" t="s">
        <v>550</v>
      </c>
      <c r="Q229" t="s">
        <v>27</v>
      </c>
      <c r="R229" t="s">
        <v>96</v>
      </c>
    </row>
    <row r="230" spans="1:18" x14ac:dyDescent="0.35">
      <c r="A230" t="s">
        <v>384</v>
      </c>
      <c r="B230" s="9">
        <v>45856</v>
      </c>
      <c r="C230" t="s">
        <v>58</v>
      </c>
      <c r="D230" t="s">
        <v>80</v>
      </c>
      <c r="E230" t="s">
        <v>31</v>
      </c>
      <c r="F230" t="s">
        <v>39</v>
      </c>
      <c r="G230" t="s">
        <v>23</v>
      </c>
      <c r="H230" s="12">
        <v>1</v>
      </c>
      <c r="I230" t="s">
        <v>24</v>
      </c>
      <c r="J230" s="7">
        <v>190000</v>
      </c>
      <c r="K230" s="7">
        <v>28500</v>
      </c>
      <c r="L230" s="7">
        <v>161500</v>
      </c>
      <c r="M230" t="s">
        <v>78</v>
      </c>
      <c r="N230" t="s">
        <v>26</v>
      </c>
      <c r="O230">
        <v>4</v>
      </c>
      <c r="P230" t="s">
        <v>85</v>
      </c>
      <c r="Q230" t="s">
        <v>60</v>
      </c>
      <c r="R230" t="s">
        <v>94</v>
      </c>
    </row>
    <row r="231" spans="1:18" x14ac:dyDescent="0.35">
      <c r="A231" t="s">
        <v>385</v>
      </c>
      <c r="B231" s="9">
        <v>45955</v>
      </c>
      <c r="C231" t="s">
        <v>45</v>
      </c>
      <c r="D231" t="s">
        <v>46</v>
      </c>
      <c r="E231" t="s">
        <v>103</v>
      </c>
      <c r="F231" t="s">
        <v>549</v>
      </c>
      <c r="G231" t="s">
        <v>71</v>
      </c>
      <c r="H231" s="12">
        <v>3</v>
      </c>
      <c r="I231" t="s">
        <v>55</v>
      </c>
      <c r="J231" s="7">
        <v>750000</v>
      </c>
      <c r="K231" s="7">
        <v>0</v>
      </c>
      <c r="L231" s="7">
        <v>750000</v>
      </c>
      <c r="M231" t="s">
        <v>78</v>
      </c>
      <c r="N231" t="s">
        <v>34</v>
      </c>
      <c r="O231">
        <v>3</v>
      </c>
      <c r="P231" t="s">
        <v>550</v>
      </c>
      <c r="Q231" t="s">
        <v>27</v>
      </c>
      <c r="R231" t="s">
        <v>49</v>
      </c>
    </row>
    <row r="232" spans="1:18" x14ac:dyDescent="0.35">
      <c r="A232" t="s">
        <v>386</v>
      </c>
      <c r="B232" s="9">
        <v>45735</v>
      </c>
      <c r="C232" t="s">
        <v>37</v>
      </c>
      <c r="D232" t="s">
        <v>20</v>
      </c>
      <c r="E232" t="s">
        <v>103</v>
      </c>
      <c r="F232" t="s">
        <v>39</v>
      </c>
      <c r="G232" t="s">
        <v>47</v>
      </c>
      <c r="H232" s="12">
        <v>2</v>
      </c>
      <c r="I232" t="s">
        <v>55</v>
      </c>
      <c r="J232" s="7">
        <v>320000</v>
      </c>
      <c r="K232" s="7">
        <v>32000</v>
      </c>
      <c r="L232" s="7">
        <v>288000</v>
      </c>
      <c r="M232" t="s">
        <v>33</v>
      </c>
      <c r="N232" t="s">
        <v>56</v>
      </c>
      <c r="O232">
        <v>4</v>
      </c>
      <c r="P232" t="s">
        <v>550</v>
      </c>
      <c r="Q232" t="s">
        <v>60</v>
      </c>
    </row>
    <row r="233" spans="1:18" x14ac:dyDescent="0.35">
      <c r="A233" t="s">
        <v>387</v>
      </c>
      <c r="B233" s="9">
        <v>45741</v>
      </c>
      <c r="C233" t="s">
        <v>37</v>
      </c>
      <c r="D233" t="s">
        <v>46</v>
      </c>
      <c r="E233" t="s">
        <v>38</v>
      </c>
      <c r="F233" t="s">
        <v>54</v>
      </c>
      <c r="G233" t="s">
        <v>47</v>
      </c>
      <c r="H233" s="12">
        <v>3</v>
      </c>
      <c r="I233" t="s">
        <v>55</v>
      </c>
      <c r="J233" s="7">
        <v>750000</v>
      </c>
      <c r="K233" s="7">
        <v>0</v>
      </c>
      <c r="L233" s="7">
        <v>750000</v>
      </c>
      <c r="M233" t="s">
        <v>78</v>
      </c>
      <c r="N233" t="s">
        <v>34</v>
      </c>
      <c r="O233">
        <v>3</v>
      </c>
      <c r="P233" t="s">
        <v>550</v>
      </c>
      <c r="Q233" t="s">
        <v>43</v>
      </c>
    </row>
    <row r="234" spans="1:18" x14ac:dyDescent="0.35">
      <c r="A234" t="s">
        <v>388</v>
      </c>
      <c r="B234" s="9">
        <v>45818</v>
      </c>
      <c r="C234" t="s">
        <v>69</v>
      </c>
      <c r="D234" t="s">
        <v>80</v>
      </c>
      <c r="E234" t="s">
        <v>21</v>
      </c>
      <c r="F234" t="s">
        <v>112</v>
      </c>
      <c r="G234" t="s">
        <v>71</v>
      </c>
      <c r="H234" s="12">
        <v>1</v>
      </c>
      <c r="I234" t="s">
        <v>32</v>
      </c>
      <c r="J234" s="7">
        <v>240000</v>
      </c>
      <c r="K234" s="7">
        <v>12000</v>
      </c>
      <c r="L234" s="7">
        <v>228000</v>
      </c>
      <c r="M234" t="s">
        <v>25</v>
      </c>
      <c r="N234" t="s">
        <v>56</v>
      </c>
      <c r="O234" t="s">
        <v>550</v>
      </c>
      <c r="P234" t="s">
        <v>550</v>
      </c>
      <c r="Q234" t="s">
        <v>27</v>
      </c>
    </row>
    <row r="235" spans="1:18" x14ac:dyDescent="0.35">
      <c r="A235" t="s">
        <v>389</v>
      </c>
      <c r="B235" s="9">
        <v>45804</v>
      </c>
      <c r="C235" t="s">
        <v>69</v>
      </c>
      <c r="D235" t="s">
        <v>46</v>
      </c>
      <c r="E235" t="s">
        <v>99</v>
      </c>
      <c r="F235" t="s">
        <v>549</v>
      </c>
      <c r="G235" t="s">
        <v>71</v>
      </c>
      <c r="H235" s="12">
        <v>4</v>
      </c>
      <c r="I235" t="s">
        <v>32</v>
      </c>
      <c r="J235" s="7">
        <v>900000</v>
      </c>
      <c r="K235" s="7">
        <v>0</v>
      </c>
      <c r="L235" s="7">
        <v>900000</v>
      </c>
      <c r="M235" t="s">
        <v>42</v>
      </c>
      <c r="N235" t="s">
        <v>34</v>
      </c>
      <c r="O235">
        <v>5</v>
      </c>
      <c r="P235" t="s">
        <v>550</v>
      </c>
      <c r="Q235" t="s">
        <v>60</v>
      </c>
      <c r="R235" t="s">
        <v>49</v>
      </c>
    </row>
    <row r="236" spans="1:18" x14ac:dyDescent="0.35">
      <c r="A236" t="s">
        <v>391</v>
      </c>
      <c r="B236" s="9">
        <v>45890</v>
      </c>
      <c r="C236" t="s">
        <v>45</v>
      </c>
      <c r="D236" t="s">
        <v>46</v>
      </c>
      <c r="E236" t="s">
        <v>99</v>
      </c>
      <c r="F236" t="s">
        <v>84</v>
      </c>
      <c r="G236" t="s">
        <v>40</v>
      </c>
      <c r="H236" s="12">
        <v>3</v>
      </c>
      <c r="I236" t="s">
        <v>24</v>
      </c>
      <c r="J236" s="7">
        <v>525000</v>
      </c>
      <c r="K236" s="7">
        <v>0</v>
      </c>
      <c r="L236" s="7">
        <v>525000</v>
      </c>
      <c r="M236" t="s">
        <v>42</v>
      </c>
      <c r="N236" t="s">
        <v>26</v>
      </c>
      <c r="O236">
        <v>3</v>
      </c>
      <c r="P236" t="s">
        <v>167</v>
      </c>
      <c r="Q236" t="s">
        <v>60</v>
      </c>
      <c r="R236" t="s">
        <v>96</v>
      </c>
    </row>
    <row r="237" spans="1:18" x14ac:dyDescent="0.35">
      <c r="A237" t="s">
        <v>393</v>
      </c>
      <c r="B237" s="9">
        <v>45829</v>
      </c>
      <c r="C237" t="s">
        <v>45</v>
      </c>
      <c r="D237" t="s">
        <v>46</v>
      </c>
      <c r="E237" t="s">
        <v>103</v>
      </c>
      <c r="F237" t="s">
        <v>39</v>
      </c>
      <c r="G237" t="s">
        <v>23</v>
      </c>
      <c r="H237" s="12">
        <v>1</v>
      </c>
      <c r="I237" t="s">
        <v>41</v>
      </c>
      <c r="J237" s="7">
        <v>210000</v>
      </c>
      <c r="K237" s="7">
        <v>31500</v>
      </c>
      <c r="L237" s="7">
        <v>178500</v>
      </c>
      <c r="M237" t="s">
        <v>25</v>
      </c>
      <c r="N237" t="s">
        <v>34</v>
      </c>
      <c r="O237" t="s">
        <v>550</v>
      </c>
      <c r="P237" t="s">
        <v>550</v>
      </c>
      <c r="Q237" t="s">
        <v>72</v>
      </c>
      <c r="R237" t="s">
        <v>96</v>
      </c>
    </row>
    <row r="238" spans="1:18" x14ac:dyDescent="0.35">
      <c r="A238" t="s">
        <v>395</v>
      </c>
      <c r="B238" s="9">
        <v>45969</v>
      </c>
      <c r="C238" t="s">
        <v>69</v>
      </c>
      <c r="D238" t="s">
        <v>46</v>
      </c>
      <c r="E238" t="s">
        <v>103</v>
      </c>
      <c r="F238" t="s">
        <v>112</v>
      </c>
      <c r="G238" t="s">
        <v>66</v>
      </c>
      <c r="H238" s="12">
        <v>2</v>
      </c>
      <c r="I238" t="s">
        <v>24</v>
      </c>
      <c r="J238" s="7">
        <v>350000</v>
      </c>
      <c r="K238" s="7">
        <v>0</v>
      </c>
      <c r="L238" s="7">
        <v>350000</v>
      </c>
      <c r="M238" t="s">
        <v>78</v>
      </c>
      <c r="N238" t="s">
        <v>34</v>
      </c>
      <c r="O238">
        <v>5</v>
      </c>
      <c r="P238" t="s">
        <v>550</v>
      </c>
      <c r="Q238" t="s">
        <v>48</v>
      </c>
    </row>
    <row r="239" spans="1:18" x14ac:dyDescent="0.35">
      <c r="A239" t="s">
        <v>397</v>
      </c>
      <c r="B239" s="9">
        <v>45810</v>
      </c>
      <c r="C239" t="s">
        <v>53</v>
      </c>
      <c r="D239" t="s">
        <v>20</v>
      </c>
      <c r="E239" t="s">
        <v>38</v>
      </c>
      <c r="F239" t="s">
        <v>84</v>
      </c>
      <c r="G239" t="s">
        <v>66</v>
      </c>
      <c r="H239" s="12">
        <v>1</v>
      </c>
      <c r="I239" t="s">
        <v>55</v>
      </c>
      <c r="J239" s="7">
        <v>160000</v>
      </c>
      <c r="K239" s="7">
        <v>8000</v>
      </c>
      <c r="L239" s="7">
        <v>152000</v>
      </c>
      <c r="M239" t="s">
        <v>42</v>
      </c>
      <c r="N239" t="s">
        <v>26</v>
      </c>
      <c r="O239">
        <v>5</v>
      </c>
      <c r="P239" t="s">
        <v>85</v>
      </c>
      <c r="Q239" t="s">
        <v>27</v>
      </c>
    </row>
    <row r="240" spans="1:18" x14ac:dyDescent="0.35">
      <c r="A240" t="s">
        <v>398</v>
      </c>
      <c r="B240" s="9">
        <v>45826</v>
      </c>
      <c r="C240" t="s">
        <v>45</v>
      </c>
      <c r="D240" t="s">
        <v>30</v>
      </c>
      <c r="E240" t="s">
        <v>90</v>
      </c>
      <c r="F240" t="s">
        <v>39</v>
      </c>
      <c r="G240" t="s">
        <v>23</v>
      </c>
      <c r="H240" s="12">
        <v>3</v>
      </c>
      <c r="I240" t="s">
        <v>24</v>
      </c>
      <c r="J240" s="7">
        <v>375000</v>
      </c>
      <c r="K240" s="7">
        <v>18750</v>
      </c>
      <c r="L240" s="7">
        <v>356250</v>
      </c>
      <c r="M240" t="s">
        <v>25</v>
      </c>
      <c r="N240" t="s">
        <v>56</v>
      </c>
      <c r="O240">
        <v>5</v>
      </c>
      <c r="P240" t="s">
        <v>550</v>
      </c>
      <c r="Q240" t="s">
        <v>43</v>
      </c>
      <c r="R240" t="s">
        <v>94</v>
      </c>
    </row>
    <row r="241" spans="1:18" x14ac:dyDescent="0.35">
      <c r="A241" t="s">
        <v>399</v>
      </c>
      <c r="B241" s="9">
        <v>45924</v>
      </c>
      <c r="C241" t="s">
        <v>69</v>
      </c>
      <c r="D241" t="s">
        <v>30</v>
      </c>
      <c r="E241" t="s">
        <v>103</v>
      </c>
      <c r="F241" t="s">
        <v>112</v>
      </c>
      <c r="G241" t="s">
        <v>23</v>
      </c>
      <c r="H241" s="12">
        <v>1</v>
      </c>
      <c r="I241" t="s">
        <v>24</v>
      </c>
      <c r="J241" s="7">
        <v>125000</v>
      </c>
      <c r="K241" s="7">
        <v>6250</v>
      </c>
      <c r="L241" s="7">
        <v>118750</v>
      </c>
      <c r="M241" t="s">
        <v>42</v>
      </c>
      <c r="N241" t="s">
        <v>34</v>
      </c>
      <c r="O241">
        <v>5</v>
      </c>
      <c r="P241" t="s">
        <v>550</v>
      </c>
      <c r="Q241" t="s">
        <v>72</v>
      </c>
      <c r="R241" t="s">
        <v>35</v>
      </c>
    </row>
    <row r="242" spans="1:18" x14ac:dyDescent="0.35">
      <c r="A242" t="s">
        <v>400</v>
      </c>
      <c r="B242" s="9">
        <v>45985</v>
      </c>
      <c r="C242" t="s">
        <v>37</v>
      </c>
      <c r="D242" t="s">
        <v>59</v>
      </c>
      <c r="E242" t="s">
        <v>31</v>
      </c>
      <c r="F242" t="s">
        <v>84</v>
      </c>
      <c r="G242" t="s">
        <v>40</v>
      </c>
      <c r="H242" s="12">
        <v>1</v>
      </c>
      <c r="I242" t="s">
        <v>41</v>
      </c>
      <c r="J242" s="7">
        <v>175000</v>
      </c>
      <c r="K242" s="7">
        <v>0</v>
      </c>
      <c r="L242" s="7">
        <v>175000</v>
      </c>
      <c r="M242" t="s">
        <v>33</v>
      </c>
      <c r="N242" t="s">
        <v>34</v>
      </c>
      <c r="O242">
        <v>4</v>
      </c>
      <c r="P242" t="s">
        <v>550</v>
      </c>
      <c r="Q242" t="s">
        <v>60</v>
      </c>
      <c r="R242" t="s">
        <v>94</v>
      </c>
    </row>
    <row r="243" spans="1:18" x14ac:dyDescent="0.35">
      <c r="A243" t="s">
        <v>401</v>
      </c>
      <c r="B243" s="9">
        <v>45979</v>
      </c>
      <c r="C243" t="s">
        <v>69</v>
      </c>
      <c r="D243" t="s">
        <v>80</v>
      </c>
      <c r="E243" t="s">
        <v>31</v>
      </c>
      <c r="F243" t="s">
        <v>54</v>
      </c>
      <c r="G243" t="s">
        <v>66</v>
      </c>
      <c r="H243" s="12">
        <v>1</v>
      </c>
      <c r="I243" t="s">
        <v>41</v>
      </c>
      <c r="J243" s="7">
        <v>225000</v>
      </c>
      <c r="K243" s="7">
        <v>22500</v>
      </c>
      <c r="L243" s="7">
        <v>202500</v>
      </c>
      <c r="M243" t="s">
        <v>25</v>
      </c>
      <c r="N243" t="s">
        <v>56</v>
      </c>
      <c r="O243">
        <v>5</v>
      </c>
      <c r="P243" t="s">
        <v>550</v>
      </c>
      <c r="Q243" t="s">
        <v>60</v>
      </c>
    </row>
    <row r="244" spans="1:18" x14ac:dyDescent="0.35">
      <c r="A244" t="s">
        <v>403</v>
      </c>
      <c r="B244" s="9">
        <v>45950</v>
      </c>
      <c r="C244" t="s">
        <v>45</v>
      </c>
      <c r="D244" t="s">
        <v>30</v>
      </c>
      <c r="E244" t="s">
        <v>103</v>
      </c>
      <c r="F244" t="s">
        <v>112</v>
      </c>
      <c r="G244" t="s">
        <v>47</v>
      </c>
      <c r="H244" s="12">
        <v>4</v>
      </c>
      <c r="I244" t="s">
        <v>41</v>
      </c>
      <c r="J244" s="7">
        <v>640000</v>
      </c>
      <c r="K244" s="7">
        <v>96000</v>
      </c>
      <c r="L244" s="7">
        <v>544000</v>
      </c>
      <c r="M244" t="s">
        <v>33</v>
      </c>
      <c r="N244" t="s">
        <v>26</v>
      </c>
      <c r="O244">
        <v>3</v>
      </c>
      <c r="P244" t="s">
        <v>551</v>
      </c>
      <c r="Q244" t="s">
        <v>72</v>
      </c>
      <c r="R244" t="s">
        <v>96</v>
      </c>
    </row>
    <row r="245" spans="1:18" x14ac:dyDescent="0.35">
      <c r="A245" t="s">
        <v>404</v>
      </c>
      <c r="B245" s="9">
        <v>45761</v>
      </c>
      <c r="C245" t="s">
        <v>58</v>
      </c>
      <c r="D245" t="s">
        <v>30</v>
      </c>
      <c r="E245" t="s">
        <v>90</v>
      </c>
      <c r="F245" t="s">
        <v>84</v>
      </c>
      <c r="G245" t="s">
        <v>66</v>
      </c>
      <c r="H245" s="12">
        <v>1</v>
      </c>
      <c r="I245" t="s">
        <v>32</v>
      </c>
      <c r="J245" s="7">
        <v>175000</v>
      </c>
      <c r="K245" s="7">
        <v>26250</v>
      </c>
      <c r="L245" s="7">
        <v>148750</v>
      </c>
      <c r="M245" t="s">
        <v>42</v>
      </c>
      <c r="N245" t="s">
        <v>34</v>
      </c>
      <c r="O245" t="s">
        <v>550</v>
      </c>
      <c r="P245" t="s">
        <v>550</v>
      </c>
      <c r="Q245" t="s">
        <v>43</v>
      </c>
      <c r="R245" t="s">
        <v>49</v>
      </c>
    </row>
    <row r="246" spans="1:18" x14ac:dyDescent="0.35">
      <c r="A246" t="s">
        <v>405</v>
      </c>
      <c r="B246" s="9">
        <v>45925</v>
      </c>
      <c r="C246" t="s">
        <v>58</v>
      </c>
      <c r="D246" t="s">
        <v>20</v>
      </c>
      <c r="E246" t="s">
        <v>31</v>
      </c>
      <c r="F246" t="s">
        <v>84</v>
      </c>
      <c r="G246" t="s">
        <v>71</v>
      </c>
      <c r="H246" s="12">
        <v>1</v>
      </c>
      <c r="I246" t="s">
        <v>24</v>
      </c>
      <c r="J246" s="7">
        <v>85000</v>
      </c>
      <c r="K246" s="7">
        <v>8500</v>
      </c>
      <c r="L246" s="7">
        <v>76500</v>
      </c>
      <c r="M246" t="s">
        <v>33</v>
      </c>
      <c r="N246" t="s">
        <v>34</v>
      </c>
      <c r="O246" t="s">
        <v>550</v>
      </c>
      <c r="P246" t="s">
        <v>550</v>
      </c>
      <c r="Q246" t="s">
        <v>72</v>
      </c>
      <c r="R246" t="s">
        <v>94</v>
      </c>
    </row>
    <row r="247" spans="1:18" x14ac:dyDescent="0.35">
      <c r="A247" t="s">
        <v>406</v>
      </c>
      <c r="B247" s="9">
        <v>45797</v>
      </c>
      <c r="C247" t="s">
        <v>37</v>
      </c>
      <c r="D247" t="s">
        <v>46</v>
      </c>
      <c r="E247" t="s">
        <v>31</v>
      </c>
      <c r="F247" t="s">
        <v>84</v>
      </c>
      <c r="G247" t="s">
        <v>47</v>
      </c>
      <c r="H247" s="12">
        <v>2</v>
      </c>
      <c r="I247" t="s">
        <v>41</v>
      </c>
      <c r="J247" s="7">
        <v>420000</v>
      </c>
      <c r="K247" s="7">
        <v>42000</v>
      </c>
      <c r="L247" s="7">
        <v>378000</v>
      </c>
      <c r="M247" t="s">
        <v>25</v>
      </c>
      <c r="N247" t="s">
        <v>34</v>
      </c>
      <c r="O247">
        <v>4</v>
      </c>
      <c r="P247" t="s">
        <v>550</v>
      </c>
      <c r="Q247" t="s">
        <v>72</v>
      </c>
    </row>
    <row r="248" spans="1:18" x14ac:dyDescent="0.35">
      <c r="A248" t="s">
        <v>407</v>
      </c>
      <c r="B248" s="9">
        <v>45712</v>
      </c>
      <c r="C248" t="s">
        <v>69</v>
      </c>
      <c r="D248" t="s">
        <v>20</v>
      </c>
      <c r="E248" t="s">
        <v>38</v>
      </c>
      <c r="F248" t="s">
        <v>54</v>
      </c>
      <c r="G248" t="s">
        <v>66</v>
      </c>
      <c r="H248" s="12">
        <v>1</v>
      </c>
      <c r="I248" t="s">
        <v>41</v>
      </c>
      <c r="J248" s="7">
        <v>120000</v>
      </c>
      <c r="K248" s="7">
        <v>0</v>
      </c>
      <c r="L248" s="7">
        <v>120000</v>
      </c>
      <c r="M248" t="s">
        <v>78</v>
      </c>
      <c r="N248" t="s">
        <v>56</v>
      </c>
      <c r="O248" t="s">
        <v>550</v>
      </c>
      <c r="P248" t="s">
        <v>550</v>
      </c>
      <c r="Q248" t="s">
        <v>43</v>
      </c>
    </row>
    <row r="249" spans="1:18" x14ac:dyDescent="0.35">
      <c r="A249" t="s">
        <v>409</v>
      </c>
      <c r="B249" s="9">
        <v>45707</v>
      </c>
      <c r="C249" t="s">
        <v>69</v>
      </c>
      <c r="D249" t="s">
        <v>59</v>
      </c>
      <c r="E249" t="s">
        <v>21</v>
      </c>
      <c r="F249" t="s">
        <v>54</v>
      </c>
      <c r="G249" t="s">
        <v>66</v>
      </c>
      <c r="H249" s="12">
        <v>4</v>
      </c>
      <c r="I249" t="s">
        <v>41</v>
      </c>
      <c r="J249" s="7">
        <v>700000</v>
      </c>
      <c r="K249" s="7">
        <v>0</v>
      </c>
      <c r="L249" s="7">
        <v>700000</v>
      </c>
      <c r="M249" t="s">
        <v>42</v>
      </c>
      <c r="N249" t="s">
        <v>34</v>
      </c>
      <c r="O249">
        <v>4</v>
      </c>
      <c r="P249" t="s">
        <v>550</v>
      </c>
      <c r="Q249" t="s">
        <v>27</v>
      </c>
    </row>
    <row r="250" spans="1:18" x14ac:dyDescent="0.35">
      <c r="A250" t="s">
        <v>410</v>
      </c>
      <c r="B250" s="9">
        <v>45967</v>
      </c>
      <c r="C250" t="s">
        <v>45</v>
      </c>
      <c r="D250" t="s">
        <v>46</v>
      </c>
      <c r="E250" t="s">
        <v>90</v>
      </c>
      <c r="F250" t="s">
        <v>84</v>
      </c>
      <c r="G250" t="s">
        <v>66</v>
      </c>
      <c r="H250" s="12">
        <v>2</v>
      </c>
      <c r="I250" t="s">
        <v>24</v>
      </c>
      <c r="J250" s="7">
        <v>350000</v>
      </c>
      <c r="K250" s="7">
        <v>0</v>
      </c>
      <c r="L250" s="7">
        <v>350000</v>
      </c>
      <c r="M250" t="s">
        <v>25</v>
      </c>
      <c r="N250" t="s">
        <v>34</v>
      </c>
      <c r="O250">
        <v>5</v>
      </c>
      <c r="P250" t="s">
        <v>550</v>
      </c>
      <c r="Q250" t="s">
        <v>43</v>
      </c>
      <c r="R250" t="s">
        <v>96</v>
      </c>
    </row>
    <row r="251" spans="1:18" x14ac:dyDescent="0.35">
      <c r="A251" t="s">
        <v>411</v>
      </c>
      <c r="B251" s="9">
        <v>45948</v>
      </c>
      <c r="C251" t="s">
        <v>53</v>
      </c>
      <c r="D251" t="s">
        <v>80</v>
      </c>
      <c r="E251" t="s">
        <v>21</v>
      </c>
      <c r="F251" t="s">
        <v>39</v>
      </c>
      <c r="G251" t="s">
        <v>23</v>
      </c>
      <c r="H251" s="12">
        <v>3</v>
      </c>
      <c r="I251" t="s">
        <v>32</v>
      </c>
      <c r="J251" s="7">
        <v>720000</v>
      </c>
      <c r="K251" s="7">
        <v>0</v>
      </c>
      <c r="L251" s="7">
        <v>720000</v>
      </c>
      <c r="M251" t="s">
        <v>25</v>
      </c>
      <c r="N251" t="s">
        <v>26</v>
      </c>
      <c r="O251">
        <v>5</v>
      </c>
      <c r="P251" t="s">
        <v>85</v>
      </c>
      <c r="Q251" t="s">
        <v>72</v>
      </c>
      <c r="R251" t="s">
        <v>96</v>
      </c>
    </row>
    <row r="252" spans="1:18" x14ac:dyDescent="0.35">
      <c r="A252" t="s">
        <v>412</v>
      </c>
      <c r="B252" s="9">
        <v>45704</v>
      </c>
      <c r="C252" t="s">
        <v>37</v>
      </c>
      <c r="D252" t="s">
        <v>46</v>
      </c>
      <c r="E252" t="s">
        <v>90</v>
      </c>
      <c r="F252" t="s">
        <v>84</v>
      </c>
      <c r="G252" t="s">
        <v>23</v>
      </c>
      <c r="H252" s="12">
        <v>1</v>
      </c>
      <c r="I252" t="s">
        <v>32</v>
      </c>
      <c r="J252" s="7">
        <v>225000</v>
      </c>
      <c r="K252" s="7">
        <v>22500</v>
      </c>
      <c r="L252" s="7">
        <v>202500</v>
      </c>
      <c r="M252" t="s">
        <v>78</v>
      </c>
      <c r="N252" t="s">
        <v>56</v>
      </c>
      <c r="O252">
        <v>5</v>
      </c>
      <c r="P252" t="s">
        <v>550</v>
      </c>
      <c r="Q252" t="s">
        <v>72</v>
      </c>
      <c r="R252" t="s">
        <v>96</v>
      </c>
    </row>
    <row r="253" spans="1:18" x14ac:dyDescent="0.35">
      <c r="A253" t="s">
        <v>413</v>
      </c>
      <c r="B253" s="9">
        <v>45956</v>
      </c>
      <c r="C253" t="s">
        <v>58</v>
      </c>
      <c r="D253" t="s">
        <v>80</v>
      </c>
      <c r="E253" t="s">
        <v>90</v>
      </c>
      <c r="F253" t="s">
        <v>54</v>
      </c>
      <c r="G253" t="s">
        <v>23</v>
      </c>
      <c r="H253" s="12">
        <v>2</v>
      </c>
      <c r="I253" t="s">
        <v>24</v>
      </c>
      <c r="J253" s="7">
        <v>380000</v>
      </c>
      <c r="K253" s="7">
        <v>0</v>
      </c>
      <c r="L253" s="7">
        <v>380000</v>
      </c>
      <c r="M253" t="s">
        <v>25</v>
      </c>
      <c r="N253" t="s">
        <v>34</v>
      </c>
      <c r="O253">
        <v>5</v>
      </c>
      <c r="P253" t="s">
        <v>550</v>
      </c>
      <c r="Q253" t="s">
        <v>48</v>
      </c>
      <c r="R253" t="s">
        <v>49</v>
      </c>
    </row>
    <row r="254" spans="1:18" x14ac:dyDescent="0.35">
      <c r="A254" t="s">
        <v>414</v>
      </c>
      <c r="B254" s="9">
        <v>45766</v>
      </c>
      <c r="C254" t="s">
        <v>37</v>
      </c>
      <c r="D254" t="s">
        <v>30</v>
      </c>
      <c r="E254" t="s">
        <v>103</v>
      </c>
      <c r="F254" t="s">
        <v>39</v>
      </c>
      <c r="G254" t="s">
        <v>71</v>
      </c>
      <c r="H254" s="12">
        <v>1</v>
      </c>
      <c r="I254" t="s">
        <v>41</v>
      </c>
      <c r="J254" s="7">
        <v>160000</v>
      </c>
      <c r="K254" s="7">
        <v>24000</v>
      </c>
      <c r="L254" s="7">
        <v>136000</v>
      </c>
      <c r="M254" t="s">
        <v>33</v>
      </c>
      <c r="N254" t="s">
        <v>34</v>
      </c>
      <c r="O254">
        <v>4</v>
      </c>
      <c r="P254" t="s">
        <v>550</v>
      </c>
      <c r="Q254" t="s">
        <v>43</v>
      </c>
    </row>
    <row r="255" spans="1:18" x14ac:dyDescent="0.35">
      <c r="A255" t="s">
        <v>415</v>
      </c>
      <c r="B255" s="9">
        <v>45891</v>
      </c>
      <c r="C255" t="s">
        <v>45</v>
      </c>
      <c r="D255" t="s">
        <v>30</v>
      </c>
      <c r="E255" t="s">
        <v>90</v>
      </c>
      <c r="F255" t="s">
        <v>39</v>
      </c>
      <c r="G255" t="s">
        <v>66</v>
      </c>
      <c r="H255" s="12">
        <v>1</v>
      </c>
      <c r="I255" t="s">
        <v>55</v>
      </c>
      <c r="J255" s="7">
        <v>200000</v>
      </c>
      <c r="K255" s="7">
        <v>0</v>
      </c>
      <c r="L255" s="7">
        <v>200000</v>
      </c>
      <c r="M255" t="s">
        <v>78</v>
      </c>
      <c r="N255" t="s">
        <v>34</v>
      </c>
      <c r="O255">
        <v>4</v>
      </c>
      <c r="P255" t="s">
        <v>550</v>
      </c>
      <c r="Q255" t="s">
        <v>72</v>
      </c>
      <c r="R255" t="s">
        <v>49</v>
      </c>
    </row>
    <row r="256" spans="1:18" x14ac:dyDescent="0.35">
      <c r="A256" t="s">
        <v>416</v>
      </c>
      <c r="B256" s="9">
        <v>45948</v>
      </c>
      <c r="C256" t="s">
        <v>69</v>
      </c>
      <c r="D256" t="s">
        <v>59</v>
      </c>
      <c r="E256" t="s">
        <v>38</v>
      </c>
      <c r="F256" t="s">
        <v>112</v>
      </c>
      <c r="G256" t="s">
        <v>66</v>
      </c>
      <c r="H256" s="12">
        <v>3</v>
      </c>
      <c r="I256" t="s">
        <v>41</v>
      </c>
      <c r="J256" s="7">
        <v>525000</v>
      </c>
      <c r="K256" s="7">
        <v>26250</v>
      </c>
      <c r="L256" s="7">
        <v>498750</v>
      </c>
      <c r="M256" t="s">
        <v>25</v>
      </c>
      <c r="N256" t="s">
        <v>34</v>
      </c>
      <c r="O256">
        <v>5</v>
      </c>
      <c r="P256" t="s">
        <v>550</v>
      </c>
      <c r="Q256" t="s">
        <v>27</v>
      </c>
    </row>
    <row r="257" spans="1:18" x14ac:dyDescent="0.35">
      <c r="A257" t="s">
        <v>417</v>
      </c>
      <c r="B257" s="9">
        <v>45931</v>
      </c>
      <c r="C257" t="s">
        <v>58</v>
      </c>
      <c r="D257" t="s">
        <v>30</v>
      </c>
      <c r="E257" t="s">
        <v>99</v>
      </c>
      <c r="F257" t="s">
        <v>112</v>
      </c>
      <c r="G257" t="s">
        <v>66</v>
      </c>
      <c r="H257" s="12">
        <v>1</v>
      </c>
      <c r="I257" t="s">
        <v>41</v>
      </c>
      <c r="J257" s="7">
        <v>160000</v>
      </c>
      <c r="K257" s="7">
        <v>0</v>
      </c>
      <c r="L257" s="7">
        <v>160000</v>
      </c>
      <c r="M257" t="s">
        <v>33</v>
      </c>
      <c r="N257" t="s">
        <v>34</v>
      </c>
      <c r="O257">
        <v>4</v>
      </c>
      <c r="P257" t="s">
        <v>550</v>
      </c>
      <c r="Q257" t="s">
        <v>48</v>
      </c>
    </row>
    <row r="258" spans="1:18" x14ac:dyDescent="0.35">
      <c r="A258" t="s">
        <v>418</v>
      </c>
      <c r="B258" s="9">
        <v>45671</v>
      </c>
      <c r="C258" t="s">
        <v>53</v>
      </c>
      <c r="D258" t="s">
        <v>30</v>
      </c>
      <c r="E258" t="s">
        <v>38</v>
      </c>
      <c r="F258" t="s">
        <v>39</v>
      </c>
      <c r="G258" t="s">
        <v>71</v>
      </c>
      <c r="H258" s="12">
        <v>1</v>
      </c>
      <c r="I258" t="s">
        <v>41</v>
      </c>
      <c r="J258" s="7">
        <v>160000</v>
      </c>
      <c r="K258" s="7">
        <v>0</v>
      </c>
      <c r="L258" s="7">
        <v>160000</v>
      </c>
      <c r="M258" t="s">
        <v>33</v>
      </c>
      <c r="N258" t="s">
        <v>34</v>
      </c>
      <c r="O258" t="s">
        <v>550</v>
      </c>
      <c r="P258" t="s">
        <v>550</v>
      </c>
      <c r="Q258" t="s">
        <v>27</v>
      </c>
    </row>
    <row r="259" spans="1:18" x14ac:dyDescent="0.35">
      <c r="A259" t="s">
        <v>420</v>
      </c>
      <c r="B259" s="9">
        <v>46016</v>
      </c>
      <c r="C259" t="s">
        <v>37</v>
      </c>
      <c r="D259" t="s">
        <v>30</v>
      </c>
      <c r="E259" t="s">
        <v>103</v>
      </c>
      <c r="F259" t="s">
        <v>112</v>
      </c>
      <c r="G259" t="s">
        <v>47</v>
      </c>
      <c r="H259" s="12">
        <v>2</v>
      </c>
      <c r="I259" t="s">
        <v>55</v>
      </c>
      <c r="J259" s="7">
        <v>400000</v>
      </c>
      <c r="K259" s="7">
        <v>20000</v>
      </c>
      <c r="L259" s="7">
        <v>380000</v>
      </c>
      <c r="M259" t="s">
        <v>25</v>
      </c>
      <c r="N259" t="s">
        <v>34</v>
      </c>
      <c r="O259" t="s">
        <v>550</v>
      </c>
      <c r="P259" t="s">
        <v>550</v>
      </c>
      <c r="Q259" t="s">
        <v>60</v>
      </c>
      <c r="R259" t="s">
        <v>96</v>
      </c>
    </row>
    <row r="260" spans="1:18" x14ac:dyDescent="0.35">
      <c r="A260" t="s">
        <v>421</v>
      </c>
      <c r="B260" s="9">
        <v>45895</v>
      </c>
      <c r="C260" t="s">
        <v>69</v>
      </c>
      <c r="D260" t="s">
        <v>30</v>
      </c>
      <c r="E260" t="s">
        <v>31</v>
      </c>
      <c r="F260" t="s">
        <v>54</v>
      </c>
      <c r="G260" t="s">
        <v>71</v>
      </c>
      <c r="H260" s="12">
        <v>1</v>
      </c>
      <c r="I260" t="s">
        <v>55</v>
      </c>
      <c r="J260" s="7">
        <v>200000</v>
      </c>
      <c r="K260" s="7">
        <v>20000</v>
      </c>
      <c r="L260" s="7">
        <v>180000</v>
      </c>
      <c r="M260" t="s">
        <v>78</v>
      </c>
      <c r="N260" t="s">
        <v>34</v>
      </c>
      <c r="O260" t="s">
        <v>550</v>
      </c>
      <c r="P260" t="s">
        <v>550</v>
      </c>
      <c r="Q260" t="s">
        <v>27</v>
      </c>
      <c r="R260" t="s">
        <v>96</v>
      </c>
    </row>
    <row r="261" spans="1:18" x14ac:dyDescent="0.35">
      <c r="A261" t="s">
        <v>422</v>
      </c>
      <c r="B261" s="9">
        <v>45879</v>
      </c>
      <c r="C261" t="s">
        <v>45</v>
      </c>
      <c r="D261" t="s">
        <v>59</v>
      </c>
      <c r="E261" t="s">
        <v>31</v>
      </c>
      <c r="F261" t="s">
        <v>549</v>
      </c>
      <c r="G261" t="s">
        <v>40</v>
      </c>
      <c r="H261" s="12">
        <v>2</v>
      </c>
      <c r="I261" t="s">
        <v>32</v>
      </c>
      <c r="J261" s="7">
        <v>380000</v>
      </c>
      <c r="K261" s="7">
        <v>19000</v>
      </c>
      <c r="L261" s="7">
        <v>361000</v>
      </c>
      <c r="M261" t="s">
        <v>33</v>
      </c>
      <c r="N261" t="s">
        <v>26</v>
      </c>
      <c r="O261" t="s">
        <v>550</v>
      </c>
      <c r="P261" t="s">
        <v>167</v>
      </c>
      <c r="Q261" t="s">
        <v>43</v>
      </c>
      <c r="R261" t="s">
        <v>94</v>
      </c>
    </row>
    <row r="262" spans="1:18" x14ac:dyDescent="0.35">
      <c r="A262" t="s">
        <v>424</v>
      </c>
      <c r="B262" s="9">
        <v>45708</v>
      </c>
      <c r="C262" t="s">
        <v>45</v>
      </c>
      <c r="D262" t="s">
        <v>20</v>
      </c>
      <c r="E262" t="s">
        <v>21</v>
      </c>
      <c r="F262" t="s">
        <v>54</v>
      </c>
      <c r="G262" t="s">
        <v>40</v>
      </c>
      <c r="H262" s="12">
        <v>1</v>
      </c>
      <c r="I262" t="s">
        <v>24</v>
      </c>
      <c r="J262" s="7">
        <v>85000</v>
      </c>
      <c r="K262" s="7">
        <v>0</v>
      </c>
      <c r="L262" s="7">
        <v>85000</v>
      </c>
      <c r="M262" t="s">
        <v>33</v>
      </c>
      <c r="N262" t="s">
        <v>34</v>
      </c>
      <c r="O262">
        <v>5</v>
      </c>
      <c r="P262" t="s">
        <v>550</v>
      </c>
      <c r="Q262" t="s">
        <v>48</v>
      </c>
    </row>
    <row r="263" spans="1:18" x14ac:dyDescent="0.35">
      <c r="A263" t="s">
        <v>425</v>
      </c>
      <c r="B263" s="9">
        <v>45724</v>
      </c>
      <c r="C263" t="s">
        <v>69</v>
      </c>
      <c r="D263" t="s">
        <v>80</v>
      </c>
      <c r="E263" t="s">
        <v>103</v>
      </c>
      <c r="F263" t="s">
        <v>84</v>
      </c>
      <c r="G263" t="s">
        <v>23</v>
      </c>
      <c r="H263" s="12">
        <v>1</v>
      </c>
      <c r="I263" t="s">
        <v>32</v>
      </c>
      <c r="J263" s="7">
        <v>240000</v>
      </c>
      <c r="K263" s="7">
        <v>0</v>
      </c>
      <c r="L263" s="7">
        <v>240000</v>
      </c>
      <c r="M263" t="s">
        <v>78</v>
      </c>
      <c r="N263" t="s">
        <v>26</v>
      </c>
      <c r="O263" t="s">
        <v>550</v>
      </c>
      <c r="P263" t="s">
        <v>259</v>
      </c>
      <c r="Q263" t="s">
        <v>27</v>
      </c>
      <c r="R263" t="s">
        <v>94</v>
      </c>
    </row>
    <row r="264" spans="1:18" x14ac:dyDescent="0.35">
      <c r="A264" t="s">
        <v>426</v>
      </c>
      <c r="B264" s="9">
        <v>45749</v>
      </c>
      <c r="C264" t="s">
        <v>69</v>
      </c>
      <c r="D264" t="s">
        <v>20</v>
      </c>
      <c r="E264" t="s">
        <v>99</v>
      </c>
      <c r="F264" t="s">
        <v>39</v>
      </c>
      <c r="G264" t="s">
        <v>71</v>
      </c>
      <c r="H264" s="12">
        <v>1</v>
      </c>
      <c r="I264" t="s">
        <v>32</v>
      </c>
      <c r="J264" s="7">
        <v>135000</v>
      </c>
      <c r="K264" s="7">
        <v>0</v>
      </c>
      <c r="L264" s="7">
        <v>135000</v>
      </c>
      <c r="M264" t="s">
        <v>78</v>
      </c>
      <c r="N264" t="s">
        <v>34</v>
      </c>
      <c r="O264">
        <v>5</v>
      </c>
      <c r="P264" t="s">
        <v>550</v>
      </c>
      <c r="Q264" t="s">
        <v>72</v>
      </c>
      <c r="R264" t="s">
        <v>94</v>
      </c>
    </row>
    <row r="265" spans="1:18" x14ac:dyDescent="0.35">
      <c r="A265" t="s">
        <v>428</v>
      </c>
      <c r="B265" s="9">
        <v>45912</v>
      </c>
      <c r="C265" t="s">
        <v>37</v>
      </c>
      <c r="D265" t="s">
        <v>20</v>
      </c>
      <c r="E265" t="s">
        <v>38</v>
      </c>
      <c r="F265" t="s">
        <v>54</v>
      </c>
      <c r="G265" t="s">
        <v>40</v>
      </c>
      <c r="H265" s="12">
        <v>2</v>
      </c>
      <c r="I265" t="s">
        <v>24</v>
      </c>
      <c r="J265" s="7">
        <v>170000</v>
      </c>
      <c r="K265" s="7">
        <v>17000</v>
      </c>
      <c r="L265" s="7">
        <v>153000</v>
      </c>
      <c r="M265" t="s">
        <v>33</v>
      </c>
      <c r="N265" t="s">
        <v>34</v>
      </c>
      <c r="O265">
        <v>5</v>
      </c>
      <c r="P265" t="s">
        <v>550</v>
      </c>
      <c r="Q265" t="s">
        <v>43</v>
      </c>
      <c r="R265" t="s">
        <v>35</v>
      </c>
    </row>
    <row r="266" spans="1:18" x14ac:dyDescent="0.35">
      <c r="A266" t="s">
        <v>430</v>
      </c>
      <c r="B266" s="9">
        <v>45720</v>
      </c>
      <c r="C266" t="s">
        <v>45</v>
      </c>
      <c r="D266" t="s">
        <v>80</v>
      </c>
      <c r="E266" t="s">
        <v>31</v>
      </c>
      <c r="F266" t="s">
        <v>549</v>
      </c>
      <c r="G266" t="s">
        <v>40</v>
      </c>
      <c r="H266" s="12">
        <v>2</v>
      </c>
      <c r="I266" t="s">
        <v>41</v>
      </c>
      <c r="J266" s="7">
        <v>450000</v>
      </c>
      <c r="K266" s="7">
        <v>0</v>
      </c>
      <c r="L266" s="7">
        <v>450000</v>
      </c>
      <c r="M266" t="s">
        <v>25</v>
      </c>
      <c r="N266" t="s">
        <v>34</v>
      </c>
      <c r="O266" t="s">
        <v>550</v>
      </c>
      <c r="P266" t="s">
        <v>550</v>
      </c>
      <c r="Q266" t="s">
        <v>43</v>
      </c>
      <c r="R266" t="s">
        <v>96</v>
      </c>
    </row>
    <row r="267" spans="1:18" x14ac:dyDescent="0.35">
      <c r="A267" t="s">
        <v>431</v>
      </c>
      <c r="B267" s="9">
        <v>45701</v>
      </c>
      <c r="C267" t="s">
        <v>69</v>
      </c>
      <c r="D267" t="s">
        <v>46</v>
      </c>
      <c r="E267" t="s">
        <v>103</v>
      </c>
      <c r="F267" t="s">
        <v>84</v>
      </c>
      <c r="G267" t="s">
        <v>23</v>
      </c>
      <c r="H267" s="12">
        <v>1</v>
      </c>
      <c r="I267" t="s">
        <v>32</v>
      </c>
      <c r="J267" s="7">
        <v>225000</v>
      </c>
      <c r="K267" s="7">
        <v>11250</v>
      </c>
      <c r="L267" s="7">
        <v>213750</v>
      </c>
      <c r="M267" t="s">
        <v>550</v>
      </c>
      <c r="N267" t="s">
        <v>56</v>
      </c>
      <c r="O267">
        <v>3</v>
      </c>
      <c r="P267" t="s">
        <v>550</v>
      </c>
      <c r="Q267" t="s">
        <v>72</v>
      </c>
      <c r="R267" t="s">
        <v>35</v>
      </c>
    </row>
    <row r="268" spans="1:18" x14ac:dyDescent="0.35">
      <c r="A268" t="s">
        <v>433</v>
      </c>
      <c r="B268" s="9">
        <v>45865</v>
      </c>
      <c r="C268" t="s">
        <v>58</v>
      </c>
      <c r="D268" t="s">
        <v>46</v>
      </c>
      <c r="E268" t="s">
        <v>21</v>
      </c>
      <c r="F268" t="s">
        <v>112</v>
      </c>
      <c r="G268" t="s">
        <v>66</v>
      </c>
      <c r="H268" s="12">
        <v>2</v>
      </c>
      <c r="I268" t="s">
        <v>55</v>
      </c>
      <c r="J268" s="7">
        <v>500000</v>
      </c>
      <c r="K268" s="7">
        <v>0</v>
      </c>
      <c r="L268" s="7">
        <v>500000</v>
      </c>
      <c r="M268" t="s">
        <v>42</v>
      </c>
      <c r="N268" t="s">
        <v>26</v>
      </c>
      <c r="O268">
        <v>3</v>
      </c>
      <c r="P268" t="s">
        <v>167</v>
      </c>
      <c r="Q268" t="s">
        <v>72</v>
      </c>
    </row>
    <row r="269" spans="1:18" x14ac:dyDescent="0.35">
      <c r="A269" t="s">
        <v>435</v>
      </c>
      <c r="B269" s="9">
        <v>45891</v>
      </c>
      <c r="C269" t="s">
        <v>45</v>
      </c>
      <c r="D269" t="s">
        <v>46</v>
      </c>
      <c r="E269" t="s">
        <v>90</v>
      </c>
      <c r="F269" t="s">
        <v>84</v>
      </c>
      <c r="G269" t="s">
        <v>47</v>
      </c>
      <c r="H269" s="12">
        <v>4</v>
      </c>
      <c r="I269" t="s">
        <v>55</v>
      </c>
      <c r="J269" s="7">
        <v>1000000</v>
      </c>
      <c r="K269" s="7">
        <v>50000</v>
      </c>
      <c r="L269" s="7">
        <v>950000</v>
      </c>
      <c r="M269" t="s">
        <v>42</v>
      </c>
      <c r="N269" t="s">
        <v>34</v>
      </c>
      <c r="O269">
        <v>4</v>
      </c>
      <c r="P269" t="s">
        <v>550</v>
      </c>
      <c r="Q269" t="s">
        <v>60</v>
      </c>
      <c r="R269" t="s">
        <v>35</v>
      </c>
    </row>
    <row r="270" spans="1:18" x14ac:dyDescent="0.35">
      <c r="A270" t="s">
        <v>436</v>
      </c>
      <c r="B270" s="9">
        <v>45829</v>
      </c>
      <c r="C270" t="s">
        <v>58</v>
      </c>
      <c r="D270" t="s">
        <v>20</v>
      </c>
      <c r="E270" t="s">
        <v>31</v>
      </c>
      <c r="F270" t="s">
        <v>39</v>
      </c>
      <c r="G270" t="s">
        <v>66</v>
      </c>
      <c r="H270" s="12">
        <v>1</v>
      </c>
      <c r="I270" t="s">
        <v>32</v>
      </c>
      <c r="J270" s="7">
        <v>135000</v>
      </c>
      <c r="K270" s="7">
        <v>0</v>
      </c>
      <c r="L270" s="7">
        <v>135000</v>
      </c>
      <c r="M270" t="s">
        <v>33</v>
      </c>
      <c r="N270" t="s">
        <v>56</v>
      </c>
      <c r="O270">
        <v>5</v>
      </c>
      <c r="P270" t="s">
        <v>550</v>
      </c>
      <c r="Q270" t="s">
        <v>48</v>
      </c>
    </row>
    <row r="271" spans="1:18" x14ac:dyDescent="0.35">
      <c r="A271" t="s">
        <v>437</v>
      </c>
      <c r="B271" s="9">
        <v>45803</v>
      </c>
      <c r="C271" t="s">
        <v>69</v>
      </c>
      <c r="D271" t="s">
        <v>30</v>
      </c>
      <c r="E271" t="s">
        <v>21</v>
      </c>
      <c r="F271" t="s">
        <v>39</v>
      </c>
      <c r="G271" t="s">
        <v>23</v>
      </c>
      <c r="H271" s="12">
        <v>2</v>
      </c>
      <c r="I271" t="s">
        <v>32</v>
      </c>
      <c r="J271" s="7">
        <v>350000</v>
      </c>
      <c r="K271" s="7">
        <v>0</v>
      </c>
      <c r="L271" s="7">
        <v>350000</v>
      </c>
      <c r="M271" t="s">
        <v>33</v>
      </c>
      <c r="N271" t="s">
        <v>56</v>
      </c>
      <c r="O271">
        <v>4</v>
      </c>
      <c r="P271" t="s">
        <v>550</v>
      </c>
      <c r="Q271" t="s">
        <v>48</v>
      </c>
      <c r="R271" t="s">
        <v>49</v>
      </c>
    </row>
    <row r="272" spans="1:18" x14ac:dyDescent="0.35">
      <c r="A272" t="s">
        <v>438</v>
      </c>
      <c r="B272" s="9">
        <v>45706</v>
      </c>
      <c r="C272" t="s">
        <v>45</v>
      </c>
      <c r="D272" t="s">
        <v>59</v>
      </c>
      <c r="E272" t="s">
        <v>90</v>
      </c>
      <c r="F272" t="s">
        <v>112</v>
      </c>
      <c r="G272" t="s">
        <v>23</v>
      </c>
      <c r="H272" s="12">
        <v>1</v>
      </c>
      <c r="I272" t="s">
        <v>55</v>
      </c>
      <c r="J272" s="7">
        <v>215000</v>
      </c>
      <c r="K272" s="7">
        <v>0</v>
      </c>
      <c r="L272" s="7">
        <v>215000</v>
      </c>
      <c r="M272" t="s">
        <v>42</v>
      </c>
      <c r="N272" t="s">
        <v>34</v>
      </c>
      <c r="O272" t="s">
        <v>550</v>
      </c>
      <c r="P272" t="s">
        <v>550</v>
      </c>
      <c r="Q272" t="s">
        <v>43</v>
      </c>
    </row>
    <row r="273" spans="1:18" x14ac:dyDescent="0.35">
      <c r="A273" t="s">
        <v>439</v>
      </c>
      <c r="B273" s="9">
        <v>45680</v>
      </c>
      <c r="C273" t="s">
        <v>58</v>
      </c>
      <c r="D273" t="s">
        <v>20</v>
      </c>
      <c r="E273" t="s">
        <v>90</v>
      </c>
      <c r="F273" t="s">
        <v>39</v>
      </c>
      <c r="G273" t="s">
        <v>23</v>
      </c>
      <c r="H273" s="12">
        <v>1</v>
      </c>
      <c r="I273" t="s">
        <v>24</v>
      </c>
      <c r="J273" s="7">
        <v>85000</v>
      </c>
      <c r="K273" s="7">
        <v>0</v>
      </c>
      <c r="L273" s="7">
        <v>85000</v>
      </c>
      <c r="M273" t="s">
        <v>78</v>
      </c>
      <c r="N273" t="s">
        <v>56</v>
      </c>
      <c r="O273">
        <v>5</v>
      </c>
      <c r="P273" t="s">
        <v>550</v>
      </c>
      <c r="Q273" t="s">
        <v>43</v>
      </c>
      <c r="R273" t="s">
        <v>96</v>
      </c>
    </row>
    <row r="274" spans="1:18" x14ac:dyDescent="0.35">
      <c r="A274" t="s">
        <v>441</v>
      </c>
      <c r="B274" s="9">
        <v>45770</v>
      </c>
      <c r="C274" t="s">
        <v>58</v>
      </c>
      <c r="D274" t="s">
        <v>30</v>
      </c>
      <c r="E274" t="s">
        <v>90</v>
      </c>
      <c r="F274" t="s">
        <v>54</v>
      </c>
      <c r="G274" t="s">
        <v>47</v>
      </c>
      <c r="H274" s="12">
        <v>2</v>
      </c>
      <c r="I274" t="s">
        <v>32</v>
      </c>
      <c r="J274" s="7">
        <v>350000</v>
      </c>
      <c r="K274" s="7">
        <v>0</v>
      </c>
      <c r="L274" s="7">
        <v>350000</v>
      </c>
      <c r="M274" t="s">
        <v>42</v>
      </c>
      <c r="N274" t="s">
        <v>34</v>
      </c>
      <c r="O274">
        <v>4</v>
      </c>
      <c r="P274" t="s">
        <v>550</v>
      </c>
      <c r="Q274" t="s">
        <v>43</v>
      </c>
    </row>
    <row r="275" spans="1:18" x14ac:dyDescent="0.35">
      <c r="A275" t="s">
        <v>443</v>
      </c>
      <c r="B275" s="9">
        <v>45872</v>
      </c>
      <c r="C275" t="s">
        <v>37</v>
      </c>
      <c r="D275" t="s">
        <v>59</v>
      </c>
      <c r="E275" t="s">
        <v>103</v>
      </c>
      <c r="F275" t="s">
        <v>549</v>
      </c>
      <c r="G275" t="s">
        <v>71</v>
      </c>
      <c r="H275" s="12">
        <v>2</v>
      </c>
      <c r="I275" t="s">
        <v>55</v>
      </c>
      <c r="J275" s="7">
        <v>430000</v>
      </c>
      <c r="K275" s="7">
        <v>0</v>
      </c>
      <c r="L275" s="7">
        <v>430000</v>
      </c>
      <c r="M275" t="s">
        <v>42</v>
      </c>
      <c r="N275" t="s">
        <v>56</v>
      </c>
      <c r="O275">
        <v>4</v>
      </c>
      <c r="P275" t="s">
        <v>550</v>
      </c>
      <c r="Q275" t="s">
        <v>60</v>
      </c>
      <c r="R275" t="s">
        <v>35</v>
      </c>
    </row>
    <row r="276" spans="1:18" x14ac:dyDescent="0.35">
      <c r="A276" t="s">
        <v>444</v>
      </c>
      <c r="B276" s="9">
        <v>45960</v>
      </c>
      <c r="C276" t="s">
        <v>37</v>
      </c>
      <c r="D276" t="s">
        <v>80</v>
      </c>
      <c r="E276" t="s">
        <v>38</v>
      </c>
      <c r="F276" t="s">
        <v>54</v>
      </c>
      <c r="G276" t="s">
        <v>47</v>
      </c>
      <c r="H276" s="12">
        <v>3</v>
      </c>
      <c r="I276" t="s">
        <v>24</v>
      </c>
      <c r="J276" s="7">
        <v>570000</v>
      </c>
      <c r="K276" s="7">
        <v>28500</v>
      </c>
      <c r="L276" s="7">
        <v>541500</v>
      </c>
      <c r="M276" t="s">
        <v>550</v>
      </c>
      <c r="N276" t="s">
        <v>34</v>
      </c>
      <c r="O276">
        <v>5</v>
      </c>
      <c r="P276" t="s">
        <v>550</v>
      </c>
      <c r="Q276" t="s">
        <v>60</v>
      </c>
      <c r="R276" t="s">
        <v>96</v>
      </c>
    </row>
    <row r="277" spans="1:18" x14ac:dyDescent="0.35">
      <c r="A277" t="s">
        <v>446</v>
      </c>
      <c r="B277" s="9">
        <v>45841</v>
      </c>
      <c r="C277" t="s">
        <v>53</v>
      </c>
      <c r="D277" t="s">
        <v>46</v>
      </c>
      <c r="E277" t="s">
        <v>21</v>
      </c>
      <c r="F277" t="s">
        <v>84</v>
      </c>
      <c r="G277" t="s">
        <v>47</v>
      </c>
      <c r="H277" s="12">
        <v>3</v>
      </c>
      <c r="I277" t="s">
        <v>32</v>
      </c>
      <c r="J277" s="7">
        <v>675000</v>
      </c>
      <c r="K277" s="7">
        <v>67500</v>
      </c>
      <c r="L277" s="7">
        <v>607500</v>
      </c>
      <c r="M277" t="s">
        <v>33</v>
      </c>
      <c r="N277" t="s">
        <v>34</v>
      </c>
      <c r="O277">
        <v>5</v>
      </c>
      <c r="P277" t="s">
        <v>550</v>
      </c>
      <c r="Q277" t="s">
        <v>72</v>
      </c>
      <c r="R277" t="s">
        <v>49</v>
      </c>
    </row>
    <row r="278" spans="1:18" x14ac:dyDescent="0.35">
      <c r="A278" t="s">
        <v>447</v>
      </c>
      <c r="B278" s="9">
        <v>45979</v>
      </c>
      <c r="C278" t="s">
        <v>58</v>
      </c>
      <c r="D278" t="s">
        <v>30</v>
      </c>
      <c r="E278" t="s">
        <v>21</v>
      </c>
      <c r="F278" t="s">
        <v>549</v>
      </c>
      <c r="G278" t="s">
        <v>71</v>
      </c>
      <c r="H278" s="12">
        <v>4</v>
      </c>
      <c r="I278" t="s">
        <v>41</v>
      </c>
      <c r="J278" s="7">
        <v>640000</v>
      </c>
      <c r="K278" s="7">
        <v>96000</v>
      </c>
      <c r="L278" s="7">
        <v>544000</v>
      </c>
      <c r="M278" t="s">
        <v>550</v>
      </c>
      <c r="N278" t="s">
        <v>34</v>
      </c>
      <c r="O278">
        <v>5</v>
      </c>
      <c r="P278" t="s">
        <v>550</v>
      </c>
      <c r="Q278" t="s">
        <v>43</v>
      </c>
      <c r="R278" t="s">
        <v>49</v>
      </c>
    </row>
    <row r="279" spans="1:18" x14ac:dyDescent="0.35">
      <c r="A279" t="s">
        <v>448</v>
      </c>
      <c r="B279" s="9">
        <v>45845</v>
      </c>
      <c r="C279" t="s">
        <v>69</v>
      </c>
      <c r="D279" t="s">
        <v>80</v>
      </c>
      <c r="E279" t="s">
        <v>38</v>
      </c>
      <c r="F279" t="s">
        <v>549</v>
      </c>
      <c r="G279" t="s">
        <v>40</v>
      </c>
      <c r="H279" s="12">
        <v>3</v>
      </c>
      <c r="I279" t="s">
        <v>55</v>
      </c>
      <c r="J279" s="7">
        <v>795000</v>
      </c>
      <c r="K279" s="7">
        <v>0</v>
      </c>
      <c r="L279" s="7">
        <v>795000</v>
      </c>
      <c r="M279" t="s">
        <v>25</v>
      </c>
      <c r="N279" t="s">
        <v>56</v>
      </c>
      <c r="O279">
        <v>4</v>
      </c>
      <c r="P279" t="s">
        <v>550</v>
      </c>
      <c r="Q279" t="s">
        <v>48</v>
      </c>
    </row>
    <row r="280" spans="1:18" x14ac:dyDescent="0.35">
      <c r="A280" t="s">
        <v>449</v>
      </c>
      <c r="B280" s="9">
        <v>46006</v>
      </c>
      <c r="C280" t="s">
        <v>69</v>
      </c>
      <c r="D280" t="s">
        <v>59</v>
      </c>
      <c r="E280" t="s">
        <v>38</v>
      </c>
      <c r="F280" t="s">
        <v>84</v>
      </c>
      <c r="G280" t="s">
        <v>40</v>
      </c>
      <c r="H280" s="12">
        <v>2</v>
      </c>
      <c r="I280" t="s">
        <v>24</v>
      </c>
      <c r="J280" s="7">
        <v>280000</v>
      </c>
      <c r="K280" s="7">
        <v>14000</v>
      </c>
      <c r="L280" s="7">
        <v>266000</v>
      </c>
      <c r="M280" t="s">
        <v>78</v>
      </c>
      <c r="N280" t="s">
        <v>56</v>
      </c>
      <c r="O280">
        <v>5</v>
      </c>
      <c r="P280" t="s">
        <v>550</v>
      </c>
      <c r="Q280" t="s">
        <v>43</v>
      </c>
      <c r="R280" t="s">
        <v>49</v>
      </c>
    </row>
    <row r="281" spans="1:18" x14ac:dyDescent="0.35">
      <c r="A281" t="s">
        <v>450</v>
      </c>
      <c r="B281" s="9">
        <v>45702</v>
      </c>
      <c r="C281" t="s">
        <v>58</v>
      </c>
      <c r="D281" t="s">
        <v>30</v>
      </c>
      <c r="E281" t="s">
        <v>103</v>
      </c>
      <c r="F281" t="s">
        <v>549</v>
      </c>
      <c r="G281" t="s">
        <v>47</v>
      </c>
      <c r="H281" s="12">
        <v>3</v>
      </c>
      <c r="I281" t="s">
        <v>55</v>
      </c>
      <c r="J281" s="7">
        <v>600000</v>
      </c>
      <c r="K281" s="7">
        <v>30000</v>
      </c>
      <c r="L281" s="7">
        <v>570000</v>
      </c>
      <c r="M281" t="s">
        <v>33</v>
      </c>
      <c r="N281" t="s">
        <v>34</v>
      </c>
      <c r="O281">
        <v>4</v>
      </c>
      <c r="P281" t="s">
        <v>550</v>
      </c>
      <c r="Q281" t="s">
        <v>60</v>
      </c>
      <c r="R281" t="s">
        <v>35</v>
      </c>
    </row>
    <row r="282" spans="1:18" x14ac:dyDescent="0.35">
      <c r="A282" t="s">
        <v>452</v>
      </c>
      <c r="B282" s="9">
        <v>45690</v>
      </c>
      <c r="C282" t="s">
        <v>58</v>
      </c>
      <c r="D282" t="s">
        <v>46</v>
      </c>
      <c r="E282" t="s">
        <v>90</v>
      </c>
      <c r="F282" t="s">
        <v>549</v>
      </c>
      <c r="G282" t="s">
        <v>66</v>
      </c>
      <c r="H282" s="12">
        <v>2</v>
      </c>
      <c r="I282" t="s">
        <v>32</v>
      </c>
      <c r="J282" s="7">
        <v>450000</v>
      </c>
      <c r="K282" s="7">
        <v>22500</v>
      </c>
      <c r="L282" s="7">
        <v>427500</v>
      </c>
      <c r="M282" t="s">
        <v>33</v>
      </c>
      <c r="N282" t="s">
        <v>34</v>
      </c>
      <c r="O282">
        <v>4</v>
      </c>
      <c r="P282" t="s">
        <v>550</v>
      </c>
      <c r="Q282" t="s">
        <v>60</v>
      </c>
      <c r="R282" t="s">
        <v>49</v>
      </c>
    </row>
    <row r="283" spans="1:18" x14ac:dyDescent="0.35">
      <c r="A283" t="s">
        <v>454</v>
      </c>
      <c r="B283" s="9">
        <v>45974</v>
      </c>
      <c r="C283" t="s">
        <v>37</v>
      </c>
      <c r="D283" t="s">
        <v>80</v>
      </c>
      <c r="E283" t="s">
        <v>31</v>
      </c>
      <c r="F283" t="s">
        <v>39</v>
      </c>
      <c r="G283" t="s">
        <v>23</v>
      </c>
      <c r="H283" s="12">
        <v>1</v>
      </c>
      <c r="I283" t="s">
        <v>24</v>
      </c>
      <c r="J283" s="7">
        <v>190000</v>
      </c>
      <c r="K283" s="7">
        <v>0</v>
      </c>
      <c r="L283" s="7">
        <v>190000</v>
      </c>
      <c r="M283" t="s">
        <v>42</v>
      </c>
      <c r="N283" t="s">
        <v>34</v>
      </c>
      <c r="O283">
        <v>4</v>
      </c>
      <c r="P283" t="s">
        <v>550</v>
      </c>
      <c r="Q283" t="s">
        <v>27</v>
      </c>
      <c r="R283" t="s">
        <v>49</v>
      </c>
    </row>
    <row r="284" spans="1:18" x14ac:dyDescent="0.35">
      <c r="A284" t="s">
        <v>455</v>
      </c>
      <c r="B284" s="9">
        <v>45720</v>
      </c>
      <c r="C284" t="s">
        <v>58</v>
      </c>
      <c r="D284" t="s">
        <v>30</v>
      </c>
      <c r="E284" t="s">
        <v>99</v>
      </c>
      <c r="F284" t="s">
        <v>39</v>
      </c>
      <c r="G284" t="s">
        <v>66</v>
      </c>
      <c r="H284" s="12">
        <v>3</v>
      </c>
      <c r="I284" t="s">
        <v>41</v>
      </c>
      <c r="J284" s="7">
        <v>480000</v>
      </c>
      <c r="K284" s="7">
        <v>72000</v>
      </c>
      <c r="L284" s="7">
        <v>408000</v>
      </c>
      <c r="M284" t="s">
        <v>42</v>
      </c>
      <c r="N284" t="s">
        <v>34</v>
      </c>
      <c r="O284">
        <v>5</v>
      </c>
      <c r="P284" t="s">
        <v>550</v>
      </c>
      <c r="Q284" t="s">
        <v>43</v>
      </c>
    </row>
    <row r="285" spans="1:18" x14ac:dyDescent="0.35">
      <c r="A285" t="s">
        <v>456</v>
      </c>
      <c r="B285" s="9">
        <v>45678</v>
      </c>
      <c r="C285" t="s">
        <v>37</v>
      </c>
      <c r="D285" t="s">
        <v>80</v>
      </c>
      <c r="E285" t="s">
        <v>38</v>
      </c>
      <c r="F285" t="s">
        <v>549</v>
      </c>
      <c r="G285" t="s">
        <v>47</v>
      </c>
      <c r="H285" s="12">
        <v>1</v>
      </c>
      <c r="I285" t="s">
        <v>24</v>
      </c>
      <c r="J285" s="7">
        <v>190000</v>
      </c>
      <c r="K285" s="7">
        <v>0</v>
      </c>
      <c r="L285" s="7">
        <v>190000</v>
      </c>
      <c r="M285" t="s">
        <v>42</v>
      </c>
      <c r="N285" t="s">
        <v>34</v>
      </c>
      <c r="O285">
        <v>3</v>
      </c>
      <c r="P285" t="s">
        <v>550</v>
      </c>
      <c r="Q285" t="s">
        <v>48</v>
      </c>
      <c r="R285" t="s">
        <v>49</v>
      </c>
    </row>
    <row r="286" spans="1:18" x14ac:dyDescent="0.35">
      <c r="A286" t="s">
        <v>457</v>
      </c>
      <c r="B286" s="9">
        <v>45859</v>
      </c>
      <c r="C286" t="s">
        <v>37</v>
      </c>
      <c r="D286" t="s">
        <v>30</v>
      </c>
      <c r="E286" t="s">
        <v>31</v>
      </c>
      <c r="F286" t="s">
        <v>112</v>
      </c>
      <c r="G286" t="s">
        <v>71</v>
      </c>
      <c r="H286" s="12">
        <v>1</v>
      </c>
      <c r="I286" t="s">
        <v>32</v>
      </c>
      <c r="J286" s="7">
        <v>175000</v>
      </c>
      <c r="K286" s="7">
        <v>0</v>
      </c>
      <c r="L286" s="7">
        <v>175000</v>
      </c>
      <c r="M286" t="s">
        <v>25</v>
      </c>
      <c r="N286" t="s">
        <v>26</v>
      </c>
      <c r="O286">
        <v>5</v>
      </c>
      <c r="P286" t="s">
        <v>183</v>
      </c>
      <c r="Q286" t="s">
        <v>43</v>
      </c>
      <c r="R286" t="s">
        <v>96</v>
      </c>
    </row>
    <row r="287" spans="1:18" x14ac:dyDescent="0.35">
      <c r="A287" t="s">
        <v>459</v>
      </c>
      <c r="B287" s="9">
        <v>45884</v>
      </c>
      <c r="C287" t="s">
        <v>53</v>
      </c>
      <c r="D287" t="s">
        <v>46</v>
      </c>
      <c r="E287" t="s">
        <v>21</v>
      </c>
      <c r="F287" t="s">
        <v>54</v>
      </c>
      <c r="G287" t="s">
        <v>66</v>
      </c>
      <c r="H287" s="12">
        <v>1</v>
      </c>
      <c r="I287" t="s">
        <v>41</v>
      </c>
      <c r="J287" s="7">
        <v>210000</v>
      </c>
      <c r="K287" s="7">
        <v>10500</v>
      </c>
      <c r="L287" s="7">
        <v>199500</v>
      </c>
      <c r="M287" t="s">
        <v>25</v>
      </c>
      <c r="N287" t="s">
        <v>34</v>
      </c>
      <c r="O287" t="s">
        <v>550</v>
      </c>
      <c r="P287" t="s">
        <v>550</v>
      </c>
      <c r="Q287" t="s">
        <v>48</v>
      </c>
      <c r="R287" t="s">
        <v>49</v>
      </c>
    </row>
    <row r="288" spans="1:18" x14ac:dyDescent="0.35">
      <c r="A288" t="s">
        <v>460</v>
      </c>
      <c r="B288" s="9">
        <v>45728</v>
      </c>
      <c r="C288" t="s">
        <v>37</v>
      </c>
      <c r="D288" t="s">
        <v>46</v>
      </c>
      <c r="E288" t="s">
        <v>99</v>
      </c>
      <c r="F288" t="s">
        <v>549</v>
      </c>
      <c r="G288" t="s">
        <v>71</v>
      </c>
      <c r="H288" s="12">
        <v>1</v>
      </c>
      <c r="I288" t="s">
        <v>32</v>
      </c>
      <c r="J288" s="7">
        <v>225000</v>
      </c>
      <c r="K288" s="7">
        <v>22500</v>
      </c>
      <c r="L288" s="7">
        <v>202500</v>
      </c>
      <c r="M288" t="s">
        <v>33</v>
      </c>
      <c r="N288" t="s">
        <v>56</v>
      </c>
      <c r="O288">
        <v>5</v>
      </c>
      <c r="P288" t="s">
        <v>550</v>
      </c>
      <c r="Q288" t="s">
        <v>60</v>
      </c>
      <c r="R288" t="s">
        <v>96</v>
      </c>
    </row>
    <row r="289" spans="1:18" x14ac:dyDescent="0.35">
      <c r="A289" t="s">
        <v>462</v>
      </c>
      <c r="B289" s="9">
        <v>45909</v>
      </c>
      <c r="C289" t="s">
        <v>37</v>
      </c>
      <c r="D289" t="s">
        <v>20</v>
      </c>
      <c r="E289" t="s">
        <v>38</v>
      </c>
      <c r="F289" t="s">
        <v>549</v>
      </c>
      <c r="G289" t="s">
        <v>66</v>
      </c>
      <c r="H289" s="12">
        <v>3</v>
      </c>
      <c r="I289" t="s">
        <v>41</v>
      </c>
      <c r="J289" s="7">
        <v>360000</v>
      </c>
      <c r="K289" s="7">
        <v>36000</v>
      </c>
      <c r="L289" s="7">
        <v>324000</v>
      </c>
      <c r="M289" t="s">
        <v>25</v>
      </c>
      <c r="N289" t="s">
        <v>56</v>
      </c>
      <c r="O289">
        <v>4</v>
      </c>
      <c r="P289" t="s">
        <v>550</v>
      </c>
      <c r="Q289" t="s">
        <v>60</v>
      </c>
      <c r="R289" t="s">
        <v>49</v>
      </c>
    </row>
    <row r="290" spans="1:18" x14ac:dyDescent="0.35">
      <c r="A290" t="s">
        <v>464</v>
      </c>
      <c r="B290" s="9">
        <v>45821</v>
      </c>
      <c r="C290" t="s">
        <v>69</v>
      </c>
      <c r="D290" t="s">
        <v>46</v>
      </c>
      <c r="E290" t="s">
        <v>31</v>
      </c>
      <c r="F290" t="s">
        <v>39</v>
      </c>
      <c r="G290" t="s">
        <v>47</v>
      </c>
      <c r="H290" s="12">
        <v>1</v>
      </c>
      <c r="I290" t="s">
        <v>24</v>
      </c>
      <c r="J290" s="7">
        <v>175000</v>
      </c>
      <c r="K290" s="7">
        <v>0</v>
      </c>
      <c r="L290" s="7">
        <v>175000</v>
      </c>
      <c r="M290" t="s">
        <v>78</v>
      </c>
      <c r="N290" t="s">
        <v>26</v>
      </c>
      <c r="O290">
        <v>4</v>
      </c>
      <c r="P290" t="s">
        <v>85</v>
      </c>
      <c r="Q290" t="s">
        <v>27</v>
      </c>
      <c r="R290" t="s">
        <v>94</v>
      </c>
    </row>
    <row r="291" spans="1:18" x14ac:dyDescent="0.35">
      <c r="A291" t="s">
        <v>465</v>
      </c>
      <c r="B291" s="9">
        <v>45796</v>
      </c>
      <c r="C291" t="s">
        <v>53</v>
      </c>
      <c r="D291" t="s">
        <v>20</v>
      </c>
      <c r="E291" t="s">
        <v>90</v>
      </c>
      <c r="F291" t="s">
        <v>112</v>
      </c>
      <c r="G291" t="s">
        <v>40</v>
      </c>
      <c r="H291" s="12">
        <v>2</v>
      </c>
      <c r="I291" t="s">
        <v>41</v>
      </c>
      <c r="J291" s="7">
        <v>240000</v>
      </c>
      <c r="K291" s="7">
        <v>0</v>
      </c>
      <c r="L291" s="7">
        <v>240000</v>
      </c>
      <c r="M291" t="s">
        <v>25</v>
      </c>
      <c r="N291" t="s">
        <v>34</v>
      </c>
      <c r="O291" t="s">
        <v>550</v>
      </c>
      <c r="P291" t="s">
        <v>550</v>
      </c>
      <c r="Q291" t="s">
        <v>48</v>
      </c>
      <c r="R291" t="s">
        <v>96</v>
      </c>
    </row>
    <row r="292" spans="1:18" x14ac:dyDescent="0.35">
      <c r="A292" t="s">
        <v>466</v>
      </c>
      <c r="B292" s="9">
        <v>46022</v>
      </c>
      <c r="C292" t="s">
        <v>45</v>
      </c>
      <c r="D292" t="s">
        <v>20</v>
      </c>
      <c r="E292" t="s">
        <v>99</v>
      </c>
      <c r="F292" t="s">
        <v>54</v>
      </c>
      <c r="G292" t="s">
        <v>47</v>
      </c>
      <c r="H292" s="12">
        <v>2</v>
      </c>
      <c r="I292" t="s">
        <v>41</v>
      </c>
      <c r="J292" s="7">
        <v>240000</v>
      </c>
      <c r="K292" s="7">
        <v>0</v>
      </c>
      <c r="L292" s="7">
        <v>240000</v>
      </c>
      <c r="M292" t="s">
        <v>42</v>
      </c>
      <c r="N292" t="s">
        <v>34</v>
      </c>
      <c r="O292">
        <v>5</v>
      </c>
      <c r="P292" t="s">
        <v>550</v>
      </c>
      <c r="Q292" t="s">
        <v>60</v>
      </c>
    </row>
    <row r="293" spans="1:18" x14ac:dyDescent="0.35">
      <c r="A293" t="s">
        <v>467</v>
      </c>
      <c r="B293" s="9">
        <v>46010</v>
      </c>
      <c r="C293" t="s">
        <v>37</v>
      </c>
      <c r="D293" t="s">
        <v>59</v>
      </c>
      <c r="E293" t="s">
        <v>103</v>
      </c>
      <c r="F293" t="s">
        <v>39</v>
      </c>
      <c r="G293" t="s">
        <v>23</v>
      </c>
      <c r="H293" s="12">
        <v>4</v>
      </c>
      <c r="I293" t="s">
        <v>24</v>
      </c>
      <c r="J293" s="7">
        <v>560000</v>
      </c>
      <c r="K293" s="7">
        <v>0</v>
      </c>
      <c r="L293" s="7">
        <v>560000</v>
      </c>
      <c r="M293" t="s">
        <v>78</v>
      </c>
      <c r="N293" t="s">
        <v>26</v>
      </c>
      <c r="O293">
        <v>3</v>
      </c>
      <c r="P293" t="s">
        <v>183</v>
      </c>
      <c r="Q293" t="s">
        <v>72</v>
      </c>
      <c r="R293" t="s">
        <v>96</v>
      </c>
    </row>
    <row r="294" spans="1:18" x14ac:dyDescent="0.35">
      <c r="A294" t="s">
        <v>469</v>
      </c>
      <c r="B294" s="9">
        <v>45812</v>
      </c>
      <c r="C294" t="s">
        <v>58</v>
      </c>
      <c r="D294" t="s">
        <v>20</v>
      </c>
      <c r="E294" t="s">
        <v>38</v>
      </c>
      <c r="F294" t="s">
        <v>112</v>
      </c>
      <c r="G294" t="s">
        <v>23</v>
      </c>
      <c r="H294" s="12">
        <v>3</v>
      </c>
      <c r="I294" t="s">
        <v>41</v>
      </c>
      <c r="J294" s="7">
        <v>360000</v>
      </c>
      <c r="K294" s="7">
        <v>0</v>
      </c>
      <c r="L294" s="7">
        <v>360000</v>
      </c>
      <c r="M294" t="s">
        <v>42</v>
      </c>
      <c r="N294" t="s">
        <v>34</v>
      </c>
      <c r="O294">
        <v>3</v>
      </c>
      <c r="P294" t="s">
        <v>550</v>
      </c>
      <c r="Q294" t="s">
        <v>48</v>
      </c>
    </row>
    <row r="295" spans="1:18" x14ac:dyDescent="0.35">
      <c r="A295" t="s">
        <v>470</v>
      </c>
      <c r="B295" s="9">
        <v>45665</v>
      </c>
      <c r="C295" t="s">
        <v>45</v>
      </c>
      <c r="D295" t="s">
        <v>46</v>
      </c>
      <c r="E295" t="s">
        <v>21</v>
      </c>
      <c r="F295" t="s">
        <v>39</v>
      </c>
      <c r="G295" t="s">
        <v>40</v>
      </c>
      <c r="H295" s="12">
        <v>1</v>
      </c>
      <c r="I295" t="s">
        <v>55</v>
      </c>
      <c r="J295" s="7">
        <v>250000</v>
      </c>
      <c r="K295" s="7">
        <v>25000</v>
      </c>
      <c r="L295" s="7">
        <v>225000</v>
      </c>
      <c r="M295" t="s">
        <v>25</v>
      </c>
      <c r="N295" t="s">
        <v>26</v>
      </c>
      <c r="O295" t="s">
        <v>550</v>
      </c>
      <c r="P295" t="s">
        <v>167</v>
      </c>
      <c r="Q295" t="s">
        <v>27</v>
      </c>
      <c r="R295" t="s">
        <v>96</v>
      </c>
    </row>
    <row r="296" spans="1:18" x14ac:dyDescent="0.35">
      <c r="A296" t="s">
        <v>471</v>
      </c>
      <c r="B296" s="9">
        <v>45721</v>
      </c>
      <c r="C296" t="s">
        <v>69</v>
      </c>
      <c r="D296" t="s">
        <v>20</v>
      </c>
      <c r="E296" t="s">
        <v>90</v>
      </c>
      <c r="F296" t="s">
        <v>39</v>
      </c>
      <c r="G296" t="s">
        <v>66</v>
      </c>
      <c r="H296" s="12">
        <v>3</v>
      </c>
      <c r="I296" t="s">
        <v>24</v>
      </c>
      <c r="J296" s="7">
        <v>255000</v>
      </c>
      <c r="K296" s="7">
        <v>0</v>
      </c>
      <c r="L296" s="7">
        <v>255000</v>
      </c>
      <c r="M296" t="s">
        <v>33</v>
      </c>
      <c r="N296" t="s">
        <v>56</v>
      </c>
      <c r="O296">
        <v>4</v>
      </c>
      <c r="P296" t="s">
        <v>550</v>
      </c>
      <c r="Q296" t="s">
        <v>43</v>
      </c>
      <c r="R296" t="s">
        <v>96</v>
      </c>
    </row>
    <row r="297" spans="1:18" x14ac:dyDescent="0.35">
      <c r="A297" t="s">
        <v>472</v>
      </c>
      <c r="B297" s="9">
        <v>45754</v>
      </c>
      <c r="C297" t="s">
        <v>58</v>
      </c>
      <c r="D297" t="s">
        <v>30</v>
      </c>
      <c r="E297" t="s">
        <v>21</v>
      </c>
      <c r="F297" t="s">
        <v>549</v>
      </c>
      <c r="G297" t="s">
        <v>23</v>
      </c>
      <c r="H297" s="12">
        <v>2</v>
      </c>
      <c r="I297" t="s">
        <v>24</v>
      </c>
      <c r="J297" s="7">
        <v>250000</v>
      </c>
      <c r="K297" s="7">
        <v>12500</v>
      </c>
      <c r="L297" s="7">
        <v>237500</v>
      </c>
      <c r="M297" t="s">
        <v>550</v>
      </c>
      <c r="N297" t="s">
        <v>26</v>
      </c>
      <c r="O297">
        <v>4</v>
      </c>
      <c r="P297" t="s">
        <v>85</v>
      </c>
      <c r="Q297" t="s">
        <v>60</v>
      </c>
      <c r="R297" t="s">
        <v>94</v>
      </c>
    </row>
    <row r="298" spans="1:18" x14ac:dyDescent="0.35">
      <c r="A298" t="s">
        <v>473</v>
      </c>
      <c r="B298" s="9">
        <v>45962</v>
      </c>
      <c r="C298" t="s">
        <v>69</v>
      </c>
      <c r="D298" t="s">
        <v>20</v>
      </c>
      <c r="E298" t="s">
        <v>103</v>
      </c>
      <c r="F298" t="s">
        <v>54</v>
      </c>
      <c r="G298" t="s">
        <v>66</v>
      </c>
      <c r="H298" s="12">
        <v>2</v>
      </c>
      <c r="I298" t="s">
        <v>41</v>
      </c>
      <c r="J298" s="7">
        <v>240000</v>
      </c>
      <c r="K298" s="7">
        <v>12000</v>
      </c>
      <c r="L298" s="7">
        <v>228000</v>
      </c>
      <c r="M298" t="s">
        <v>33</v>
      </c>
      <c r="N298" t="s">
        <v>26</v>
      </c>
      <c r="O298">
        <v>5</v>
      </c>
      <c r="P298" t="s">
        <v>85</v>
      </c>
      <c r="Q298" t="s">
        <v>72</v>
      </c>
      <c r="R298" t="s">
        <v>96</v>
      </c>
    </row>
    <row r="299" spans="1:18" x14ac:dyDescent="0.35">
      <c r="A299" t="s">
        <v>474</v>
      </c>
      <c r="B299" s="9">
        <v>45913</v>
      </c>
      <c r="C299" t="s">
        <v>58</v>
      </c>
      <c r="D299" t="s">
        <v>46</v>
      </c>
      <c r="E299" t="s">
        <v>99</v>
      </c>
      <c r="F299" t="s">
        <v>112</v>
      </c>
      <c r="G299" t="s">
        <v>40</v>
      </c>
      <c r="H299" s="12">
        <v>3</v>
      </c>
      <c r="I299" t="s">
        <v>32</v>
      </c>
      <c r="J299" s="7">
        <v>675000</v>
      </c>
      <c r="K299" s="7">
        <v>33750</v>
      </c>
      <c r="L299" s="7">
        <v>641250</v>
      </c>
      <c r="M299" t="s">
        <v>25</v>
      </c>
      <c r="N299" t="s">
        <v>34</v>
      </c>
      <c r="O299">
        <v>4</v>
      </c>
      <c r="P299" t="s">
        <v>550</v>
      </c>
      <c r="Q299" t="s">
        <v>43</v>
      </c>
    </row>
    <row r="300" spans="1:18" x14ac:dyDescent="0.35">
      <c r="A300" t="s">
        <v>476</v>
      </c>
      <c r="B300" s="9">
        <v>45888</v>
      </c>
      <c r="C300" t="s">
        <v>53</v>
      </c>
      <c r="D300" t="s">
        <v>30</v>
      </c>
      <c r="E300" t="s">
        <v>99</v>
      </c>
      <c r="F300" t="s">
        <v>54</v>
      </c>
      <c r="G300" t="s">
        <v>47</v>
      </c>
      <c r="H300" s="12">
        <v>3</v>
      </c>
      <c r="I300" t="s">
        <v>41</v>
      </c>
      <c r="J300" s="7">
        <v>480000</v>
      </c>
      <c r="K300" s="7">
        <v>72000</v>
      </c>
      <c r="L300" s="7">
        <v>408000</v>
      </c>
      <c r="M300" t="s">
        <v>550</v>
      </c>
      <c r="N300" t="s">
        <v>56</v>
      </c>
      <c r="O300">
        <v>4</v>
      </c>
      <c r="P300" t="s">
        <v>550</v>
      </c>
      <c r="Q300" t="s">
        <v>60</v>
      </c>
      <c r="R300" t="s">
        <v>96</v>
      </c>
    </row>
    <row r="301" spans="1:18" x14ac:dyDescent="0.35">
      <c r="A301" t="s">
        <v>477</v>
      </c>
      <c r="B301" s="9">
        <v>45917</v>
      </c>
      <c r="C301" t="s">
        <v>58</v>
      </c>
      <c r="D301" t="s">
        <v>30</v>
      </c>
      <c r="E301" t="s">
        <v>31</v>
      </c>
      <c r="F301" t="s">
        <v>54</v>
      </c>
      <c r="G301" t="s">
        <v>71</v>
      </c>
      <c r="H301" s="12">
        <v>1</v>
      </c>
      <c r="I301" t="s">
        <v>24</v>
      </c>
      <c r="J301" s="7">
        <v>125000</v>
      </c>
      <c r="K301" s="7">
        <v>0</v>
      </c>
      <c r="L301" s="7">
        <v>125000</v>
      </c>
      <c r="M301" t="s">
        <v>33</v>
      </c>
      <c r="N301" t="s">
        <v>34</v>
      </c>
      <c r="O301">
        <v>5</v>
      </c>
      <c r="P301" t="s">
        <v>550</v>
      </c>
      <c r="Q301" t="s">
        <v>72</v>
      </c>
    </row>
    <row r="302" spans="1:18" x14ac:dyDescent="0.35">
      <c r="A302" t="s">
        <v>478</v>
      </c>
      <c r="B302" s="9">
        <v>45996</v>
      </c>
      <c r="C302" t="s">
        <v>37</v>
      </c>
      <c r="D302" t="s">
        <v>46</v>
      </c>
      <c r="E302" t="s">
        <v>103</v>
      </c>
      <c r="F302" t="s">
        <v>549</v>
      </c>
      <c r="G302" t="s">
        <v>71</v>
      </c>
      <c r="H302" s="12">
        <v>1</v>
      </c>
      <c r="I302" t="s">
        <v>41</v>
      </c>
      <c r="J302" s="7">
        <v>210000</v>
      </c>
      <c r="K302" s="7">
        <v>0</v>
      </c>
      <c r="L302" s="7">
        <v>210000</v>
      </c>
      <c r="M302" t="s">
        <v>25</v>
      </c>
      <c r="N302" t="s">
        <v>34</v>
      </c>
      <c r="O302">
        <v>3</v>
      </c>
      <c r="P302" t="s">
        <v>550</v>
      </c>
      <c r="Q302" t="s">
        <v>43</v>
      </c>
      <c r="R302" t="s">
        <v>49</v>
      </c>
    </row>
    <row r="303" spans="1:18" x14ac:dyDescent="0.35">
      <c r="A303" t="s">
        <v>479</v>
      </c>
      <c r="B303" s="9">
        <v>45823</v>
      </c>
      <c r="C303" t="s">
        <v>45</v>
      </c>
      <c r="D303" t="s">
        <v>20</v>
      </c>
      <c r="E303" t="s">
        <v>99</v>
      </c>
      <c r="F303" t="s">
        <v>84</v>
      </c>
      <c r="G303" t="s">
        <v>23</v>
      </c>
      <c r="H303" s="12">
        <v>2</v>
      </c>
      <c r="I303" t="s">
        <v>41</v>
      </c>
      <c r="J303" s="7">
        <v>240000</v>
      </c>
      <c r="K303" s="7">
        <v>0</v>
      </c>
      <c r="L303" s="7">
        <v>240000</v>
      </c>
      <c r="M303" t="s">
        <v>33</v>
      </c>
      <c r="N303" t="s">
        <v>34</v>
      </c>
      <c r="O303">
        <v>4</v>
      </c>
      <c r="P303" t="s">
        <v>550</v>
      </c>
      <c r="Q303" t="s">
        <v>60</v>
      </c>
    </row>
    <row r="304" spans="1:18" x14ac:dyDescent="0.35">
      <c r="A304" t="s">
        <v>481</v>
      </c>
      <c r="B304" s="9">
        <v>45977</v>
      </c>
      <c r="C304" t="s">
        <v>58</v>
      </c>
      <c r="D304" t="s">
        <v>80</v>
      </c>
      <c r="E304" t="s">
        <v>38</v>
      </c>
      <c r="F304" t="s">
        <v>112</v>
      </c>
      <c r="G304" t="s">
        <v>40</v>
      </c>
      <c r="H304" s="12">
        <v>1</v>
      </c>
      <c r="I304" t="s">
        <v>41</v>
      </c>
      <c r="J304" s="7">
        <v>225000</v>
      </c>
      <c r="K304" s="7">
        <v>0</v>
      </c>
      <c r="L304" s="7">
        <v>225000</v>
      </c>
      <c r="M304" t="s">
        <v>78</v>
      </c>
      <c r="N304" t="s">
        <v>34</v>
      </c>
      <c r="O304">
        <v>5</v>
      </c>
      <c r="P304" t="s">
        <v>550</v>
      </c>
      <c r="Q304" t="s">
        <v>72</v>
      </c>
      <c r="R304" t="s">
        <v>35</v>
      </c>
    </row>
    <row r="305" spans="1:18" x14ac:dyDescent="0.35">
      <c r="A305" t="s">
        <v>482</v>
      </c>
      <c r="B305" s="9">
        <v>45979</v>
      </c>
      <c r="C305" t="s">
        <v>45</v>
      </c>
      <c r="D305" t="s">
        <v>46</v>
      </c>
      <c r="E305" t="s">
        <v>90</v>
      </c>
      <c r="F305" t="s">
        <v>54</v>
      </c>
      <c r="G305" t="s">
        <v>23</v>
      </c>
      <c r="H305" s="12">
        <v>3</v>
      </c>
      <c r="I305" t="s">
        <v>32</v>
      </c>
      <c r="J305" s="7">
        <v>675000</v>
      </c>
      <c r="K305" s="7">
        <v>67500</v>
      </c>
      <c r="L305" s="7">
        <v>607500</v>
      </c>
      <c r="M305" t="s">
        <v>78</v>
      </c>
      <c r="N305" t="s">
        <v>34</v>
      </c>
      <c r="O305">
        <v>5</v>
      </c>
      <c r="P305" t="s">
        <v>550</v>
      </c>
      <c r="Q305" t="s">
        <v>72</v>
      </c>
      <c r="R305" t="s">
        <v>94</v>
      </c>
    </row>
    <row r="306" spans="1:18" x14ac:dyDescent="0.35">
      <c r="A306" t="s">
        <v>483</v>
      </c>
      <c r="B306" s="9">
        <v>45982</v>
      </c>
      <c r="C306" t="s">
        <v>37</v>
      </c>
      <c r="D306" t="s">
        <v>30</v>
      </c>
      <c r="E306" t="s">
        <v>31</v>
      </c>
      <c r="F306" t="s">
        <v>549</v>
      </c>
      <c r="G306" t="s">
        <v>23</v>
      </c>
      <c r="H306" s="12">
        <v>1</v>
      </c>
      <c r="I306" t="s">
        <v>24</v>
      </c>
      <c r="J306" s="7">
        <v>125000</v>
      </c>
      <c r="K306" s="7">
        <v>0</v>
      </c>
      <c r="L306" s="7">
        <v>125000</v>
      </c>
      <c r="M306" t="s">
        <v>42</v>
      </c>
      <c r="N306" t="s">
        <v>34</v>
      </c>
      <c r="O306">
        <v>4</v>
      </c>
      <c r="P306" t="s">
        <v>550</v>
      </c>
      <c r="Q306" t="s">
        <v>27</v>
      </c>
    </row>
    <row r="307" spans="1:18" x14ac:dyDescent="0.35">
      <c r="A307" t="s">
        <v>484</v>
      </c>
      <c r="B307" s="9">
        <v>45800</v>
      </c>
      <c r="C307" t="s">
        <v>45</v>
      </c>
      <c r="D307" t="s">
        <v>46</v>
      </c>
      <c r="E307" t="s">
        <v>21</v>
      </c>
      <c r="F307" t="s">
        <v>84</v>
      </c>
      <c r="G307" t="s">
        <v>66</v>
      </c>
      <c r="H307" s="12">
        <v>1</v>
      </c>
      <c r="I307" t="s">
        <v>41</v>
      </c>
      <c r="J307" s="7">
        <v>210000</v>
      </c>
      <c r="K307" s="7">
        <v>0</v>
      </c>
      <c r="L307" s="7">
        <v>210000</v>
      </c>
      <c r="M307" t="s">
        <v>25</v>
      </c>
      <c r="N307" t="s">
        <v>34</v>
      </c>
      <c r="O307">
        <v>4</v>
      </c>
      <c r="P307" t="s">
        <v>550</v>
      </c>
      <c r="Q307" t="s">
        <v>48</v>
      </c>
    </row>
    <row r="308" spans="1:18" x14ac:dyDescent="0.35">
      <c r="A308" t="s">
        <v>485</v>
      </c>
      <c r="B308" s="9">
        <v>45926</v>
      </c>
      <c r="C308" t="s">
        <v>53</v>
      </c>
      <c r="D308" t="s">
        <v>30</v>
      </c>
      <c r="E308" t="s">
        <v>38</v>
      </c>
      <c r="F308" t="s">
        <v>39</v>
      </c>
      <c r="G308" t="s">
        <v>71</v>
      </c>
      <c r="H308" s="12">
        <v>4</v>
      </c>
      <c r="I308" t="s">
        <v>32</v>
      </c>
      <c r="J308" s="7">
        <v>700000</v>
      </c>
      <c r="K308" s="7">
        <v>105000</v>
      </c>
      <c r="L308" s="7">
        <v>595000</v>
      </c>
      <c r="M308" t="s">
        <v>33</v>
      </c>
      <c r="N308" t="s">
        <v>34</v>
      </c>
      <c r="O308">
        <v>5</v>
      </c>
      <c r="P308" t="s">
        <v>550</v>
      </c>
      <c r="Q308" t="s">
        <v>72</v>
      </c>
    </row>
    <row r="309" spans="1:18" x14ac:dyDescent="0.35">
      <c r="A309" t="s">
        <v>487</v>
      </c>
      <c r="B309" s="9">
        <v>45820</v>
      </c>
      <c r="C309" t="s">
        <v>45</v>
      </c>
      <c r="D309" t="s">
        <v>30</v>
      </c>
      <c r="E309" t="s">
        <v>99</v>
      </c>
      <c r="F309" t="s">
        <v>39</v>
      </c>
      <c r="G309" t="s">
        <v>40</v>
      </c>
      <c r="H309" s="12">
        <v>2</v>
      </c>
      <c r="I309" t="s">
        <v>41</v>
      </c>
      <c r="J309" s="7">
        <v>320000</v>
      </c>
      <c r="K309" s="7">
        <v>0</v>
      </c>
      <c r="L309" s="7">
        <v>320000</v>
      </c>
      <c r="M309" t="s">
        <v>42</v>
      </c>
      <c r="N309" t="s">
        <v>34</v>
      </c>
      <c r="O309">
        <v>3</v>
      </c>
      <c r="P309" t="s">
        <v>550</v>
      </c>
      <c r="Q309" t="s">
        <v>27</v>
      </c>
      <c r="R309" t="s">
        <v>94</v>
      </c>
    </row>
    <row r="310" spans="1:18" x14ac:dyDescent="0.35">
      <c r="A310" t="s">
        <v>488</v>
      </c>
      <c r="B310" s="9">
        <v>46008</v>
      </c>
      <c r="C310" t="s">
        <v>58</v>
      </c>
      <c r="D310" t="s">
        <v>80</v>
      </c>
      <c r="E310" t="s">
        <v>103</v>
      </c>
      <c r="F310" t="s">
        <v>54</v>
      </c>
      <c r="G310" t="s">
        <v>66</v>
      </c>
      <c r="H310" s="12">
        <v>1</v>
      </c>
      <c r="I310" t="s">
        <v>41</v>
      </c>
      <c r="J310" s="7">
        <v>225000</v>
      </c>
      <c r="K310" s="7">
        <v>0</v>
      </c>
      <c r="L310" s="7">
        <v>225000</v>
      </c>
      <c r="M310" t="s">
        <v>550</v>
      </c>
      <c r="N310" t="s">
        <v>34</v>
      </c>
      <c r="O310" t="s">
        <v>550</v>
      </c>
      <c r="P310" t="s">
        <v>550</v>
      </c>
      <c r="Q310" t="s">
        <v>43</v>
      </c>
      <c r="R310" t="s">
        <v>35</v>
      </c>
    </row>
    <row r="311" spans="1:18" x14ac:dyDescent="0.35">
      <c r="A311" t="s">
        <v>489</v>
      </c>
      <c r="B311" s="9">
        <v>45899</v>
      </c>
      <c r="C311" t="s">
        <v>69</v>
      </c>
      <c r="D311" t="s">
        <v>59</v>
      </c>
      <c r="E311" t="s">
        <v>21</v>
      </c>
      <c r="F311" t="s">
        <v>54</v>
      </c>
      <c r="G311" t="s">
        <v>47</v>
      </c>
      <c r="H311" s="12">
        <v>1</v>
      </c>
      <c r="I311" t="s">
        <v>41</v>
      </c>
      <c r="J311" s="7">
        <v>175000</v>
      </c>
      <c r="K311" s="7">
        <v>8750</v>
      </c>
      <c r="L311" s="7">
        <v>166250</v>
      </c>
      <c r="M311" t="s">
        <v>33</v>
      </c>
      <c r="N311" t="s">
        <v>56</v>
      </c>
      <c r="O311">
        <v>5</v>
      </c>
      <c r="P311" t="s">
        <v>550</v>
      </c>
      <c r="Q311" t="s">
        <v>43</v>
      </c>
      <c r="R311" t="s">
        <v>94</v>
      </c>
    </row>
    <row r="312" spans="1:18" x14ac:dyDescent="0.35">
      <c r="A312" t="s">
        <v>490</v>
      </c>
      <c r="B312" s="9">
        <v>45760</v>
      </c>
      <c r="C312" t="s">
        <v>53</v>
      </c>
      <c r="D312" t="s">
        <v>59</v>
      </c>
      <c r="E312" t="s">
        <v>90</v>
      </c>
      <c r="F312" t="s">
        <v>84</v>
      </c>
      <c r="G312" t="s">
        <v>47</v>
      </c>
      <c r="H312" s="12">
        <v>3</v>
      </c>
      <c r="I312" t="s">
        <v>32</v>
      </c>
      <c r="J312" s="7">
        <v>570000</v>
      </c>
      <c r="K312" s="7">
        <v>0</v>
      </c>
      <c r="L312" s="7">
        <v>570000</v>
      </c>
      <c r="M312" t="s">
        <v>42</v>
      </c>
      <c r="N312" t="s">
        <v>56</v>
      </c>
      <c r="O312">
        <v>4</v>
      </c>
      <c r="P312" t="s">
        <v>550</v>
      </c>
      <c r="Q312" t="s">
        <v>43</v>
      </c>
      <c r="R312" t="s">
        <v>96</v>
      </c>
    </row>
    <row r="313" spans="1:18" x14ac:dyDescent="0.35">
      <c r="A313" t="s">
        <v>492</v>
      </c>
      <c r="B313" s="9">
        <v>45950</v>
      </c>
      <c r="C313" t="s">
        <v>37</v>
      </c>
      <c r="D313" t="s">
        <v>20</v>
      </c>
      <c r="E313" t="s">
        <v>38</v>
      </c>
      <c r="F313" t="s">
        <v>112</v>
      </c>
      <c r="G313" t="s">
        <v>71</v>
      </c>
      <c r="H313" s="12">
        <v>1</v>
      </c>
      <c r="I313" t="s">
        <v>41</v>
      </c>
      <c r="J313" s="7">
        <v>120000</v>
      </c>
      <c r="K313" s="7">
        <v>18000</v>
      </c>
      <c r="L313" s="7">
        <v>102000</v>
      </c>
      <c r="M313" t="s">
        <v>25</v>
      </c>
      <c r="N313" t="s">
        <v>34</v>
      </c>
      <c r="O313" t="s">
        <v>550</v>
      </c>
      <c r="P313" t="s">
        <v>550</v>
      </c>
      <c r="Q313" t="s">
        <v>48</v>
      </c>
    </row>
    <row r="314" spans="1:18" x14ac:dyDescent="0.35">
      <c r="A314" t="s">
        <v>493</v>
      </c>
      <c r="B314" s="9">
        <v>45880</v>
      </c>
      <c r="C314" t="s">
        <v>69</v>
      </c>
      <c r="D314" t="s">
        <v>30</v>
      </c>
      <c r="E314" t="s">
        <v>38</v>
      </c>
      <c r="F314" t="s">
        <v>39</v>
      </c>
      <c r="G314" t="s">
        <v>23</v>
      </c>
      <c r="H314" s="12">
        <v>3</v>
      </c>
      <c r="I314" t="s">
        <v>32</v>
      </c>
      <c r="J314" s="7">
        <v>525000</v>
      </c>
      <c r="K314" s="7">
        <v>26250</v>
      </c>
      <c r="L314" s="7">
        <v>498750</v>
      </c>
      <c r="M314" t="s">
        <v>33</v>
      </c>
      <c r="N314" t="s">
        <v>34</v>
      </c>
      <c r="O314">
        <v>4</v>
      </c>
      <c r="P314" t="s">
        <v>550</v>
      </c>
      <c r="Q314" t="s">
        <v>48</v>
      </c>
      <c r="R314" t="s">
        <v>96</v>
      </c>
    </row>
    <row r="315" spans="1:18" x14ac:dyDescent="0.35">
      <c r="A315" t="s">
        <v>494</v>
      </c>
      <c r="B315" s="9">
        <v>45888</v>
      </c>
      <c r="C315" t="s">
        <v>37</v>
      </c>
      <c r="D315" t="s">
        <v>59</v>
      </c>
      <c r="E315" t="s">
        <v>90</v>
      </c>
      <c r="F315" t="s">
        <v>54</v>
      </c>
      <c r="G315" t="s">
        <v>47</v>
      </c>
      <c r="H315" s="12">
        <v>4</v>
      </c>
      <c r="I315" t="s">
        <v>41</v>
      </c>
      <c r="J315" s="7">
        <v>700000</v>
      </c>
      <c r="K315" s="7">
        <v>105000</v>
      </c>
      <c r="L315" s="7">
        <v>595000</v>
      </c>
      <c r="M315" t="s">
        <v>550</v>
      </c>
      <c r="N315" t="s">
        <v>34</v>
      </c>
      <c r="O315">
        <v>4</v>
      </c>
      <c r="P315" t="s">
        <v>550</v>
      </c>
      <c r="Q315" t="s">
        <v>27</v>
      </c>
      <c r="R315" t="s">
        <v>94</v>
      </c>
    </row>
    <row r="316" spans="1:18" x14ac:dyDescent="0.35">
      <c r="A316" t="s">
        <v>496</v>
      </c>
      <c r="B316" s="9">
        <v>45968</v>
      </c>
      <c r="C316" t="s">
        <v>45</v>
      </c>
      <c r="D316" t="s">
        <v>20</v>
      </c>
      <c r="E316" t="s">
        <v>38</v>
      </c>
      <c r="F316" t="s">
        <v>549</v>
      </c>
      <c r="G316" t="s">
        <v>71</v>
      </c>
      <c r="H316" s="12">
        <v>3</v>
      </c>
      <c r="I316" t="s">
        <v>41</v>
      </c>
      <c r="J316" s="7">
        <v>360000</v>
      </c>
      <c r="K316" s="7">
        <v>0</v>
      </c>
      <c r="L316" s="7">
        <v>360000</v>
      </c>
      <c r="M316" t="s">
        <v>33</v>
      </c>
      <c r="N316" t="s">
        <v>34</v>
      </c>
      <c r="O316">
        <v>5</v>
      </c>
      <c r="P316" t="s">
        <v>550</v>
      </c>
      <c r="Q316" t="s">
        <v>72</v>
      </c>
    </row>
    <row r="317" spans="1:18" x14ac:dyDescent="0.35">
      <c r="A317" t="s">
        <v>497</v>
      </c>
      <c r="B317" s="9">
        <v>45723</v>
      </c>
      <c r="C317" t="s">
        <v>69</v>
      </c>
      <c r="D317" t="s">
        <v>59</v>
      </c>
      <c r="E317" t="s">
        <v>21</v>
      </c>
      <c r="F317" t="s">
        <v>549</v>
      </c>
      <c r="G317" t="s">
        <v>66</v>
      </c>
      <c r="H317" s="12">
        <v>4</v>
      </c>
      <c r="I317" t="s">
        <v>41</v>
      </c>
      <c r="J317" s="7">
        <v>700000</v>
      </c>
      <c r="K317" s="7">
        <v>70000</v>
      </c>
      <c r="L317" s="7">
        <v>630000</v>
      </c>
      <c r="M317" t="s">
        <v>33</v>
      </c>
      <c r="N317" t="s">
        <v>56</v>
      </c>
      <c r="O317">
        <v>4</v>
      </c>
      <c r="P317" t="s">
        <v>550</v>
      </c>
      <c r="Q317" t="s">
        <v>60</v>
      </c>
      <c r="R317" t="s">
        <v>96</v>
      </c>
    </row>
    <row r="318" spans="1:18" x14ac:dyDescent="0.35">
      <c r="A318" t="s">
        <v>498</v>
      </c>
      <c r="B318" s="9">
        <v>45751</v>
      </c>
      <c r="C318" t="s">
        <v>58</v>
      </c>
      <c r="D318" t="s">
        <v>30</v>
      </c>
      <c r="E318" t="s">
        <v>31</v>
      </c>
      <c r="F318" t="s">
        <v>39</v>
      </c>
      <c r="G318" t="s">
        <v>66</v>
      </c>
      <c r="H318" s="12">
        <v>2</v>
      </c>
      <c r="I318" t="s">
        <v>41</v>
      </c>
      <c r="J318" s="7">
        <v>320000</v>
      </c>
      <c r="K318" s="7">
        <v>48000</v>
      </c>
      <c r="L318" s="7">
        <v>272000</v>
      </c>
      <c r="M318" t="s">
        <v>78</v>
      </c>
      <c r="N318" t="s">
        <v>34</v>
      </c>
      <c r="O318">
        <v>5</v>
      </c>
      <c r="P318" t="s">
        <v>550</v>
      </c>
      <c r="Q318" t="s">
        <v>48</v>
      </c>
      <c r="R318" t="s">
        <v>96</v>
      </c>
    </row>
    <row r="319" spans="1:18" x14ac:dyDescent="0.35">
      <c r="A319" t="s">
        <v>499</v>
      </c>
      <c r="B319" s="9">
        <v>45997</v>
      </c>
      <c r="C319" t="s">
        <v>45</v>
      </c>
      <c r="D319" t="s">
        <v>46</v>
      </c>
      <c r="E319" t="s">
        <v>90</v>
      </c>
      <c r="F319" t="s">
        <v>84</v>
      </c>
      <c r="G319" t="s">
        <v>71</v>
      </c>
      <c r="H319" s="12">
        <v>1</v>
      </c>
      <c r="I319" t="s">
        <v>55</v>
      </c>
      <c r="J319" s="7">
        <v>250000</v>
      </c>
      <c r="K319" s="7">
        <v>12500</v>
      </c>
      <c r="L319" s="7">
        <v>237500</v>
      </c>
      <c r="M319" t="s">
        <v>42</v>
      </c>
      <c r="N319" t="s">
        <v>34</v>
      </c>
      <c r="O319">
        <v>5</v>
      </c>
      <c r="P319" t="s">
        <v>550</v>
      </c>
      <c r="Q319" t="s">
        <v>72</v>
      </c>
    </row>
    <row r="320" spans="1:18" x14ac:dyDescent="0.35">
      <c r="A320" t="s">
        <v>500</v>
      </c>
      <c r="B320" s="9">
        <v>45893</v>
      </c>
      <c r="C320" t="s">
        <v>69</v>
      </c>
      <c r="D320" t="s">
        <v>30</v>
      </c>
      <c r="E320" t="s">
        <v>21</v>
      </c>
      <c r="F320" t="s">
        <v>549</v>
      </c>
      <c r="G320" t="s">
        <v>71</v>
      </c>
      <c r="H320" s="12">
        <v>3</v>
      </c>
      <c r="I320" t="s">
        <v>32</v>
      </c>
      <c r="J320" s="7">
        <v>525000</v>
      </c>
      <c r="K320" s="7">
        <v>0</v>
      </c>
      <c r="L320" s="7">
        <v>525000</v>
      </c>
      <c r="M320" t="s">
        <v>33</v>
      </c>
      <c r="N320" t="s">
        <v>34</v>
      </c>
      <c r="O320">
        <v>5</v>
      </c>
      <c r="P320" t="s">
        <v>550</v>
      </c>
      <c r="Q320" t="s">
        <v>72</v>
      </c>
      <c r="R320" t="s">
        <v>94</v>
      </c>
    </row>
    <row r="321" spans="1:18" x14ac:dyDescent="0.35">
      <c r="A321" t="s">
        <v>501</v>
      </c>
      <c r="B321" s="9">
        <v>45862</v>
      </c>
      <c r="C321" t="s">
        <v>53</v>
      </c>
      <c r="D321" t="s">
        <v>46</v>
      </c>
      <c r="E321" t="s">
        <v>103</v>
      </c>
      <c r="F321" t="s">
        <v>54</v>
      </c>
      <c r="G321" t="s">
        <v>47</v>
      </c>
      <c r="H321" s="12">
        <v>1</v>
      </c>
      <c r="I321" t="s">
        <v>32</v>
      </c>
      <c r="J321" s="7">
        <v>225000</v>
      </c>
      <c r="K321" s="7">
        <v>11250</v>
      </c>
      <c r="L321" s="7">
        <v>213750</v>
      </c>
      <c r="M321" t="s">
        <v>550</v>
      </c>
      <c r="N321" t="s">
        <v>34</v>
      </c>
      <c r="O321">
        <v>4</v>
      </c>
      <c r="P321" t="s">
        <v>550</v>
      </c>
      <c r="Q321" t="s">
        <v>27</v>
      </c>
      <c r="R321" t="s">
        <v>94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5" x14ac:dyDescent="0.35"/>
  <cols>
    <col min="1" max="1" width="24" customWidth="1"/>
    <col min="2" max="2" width="120" customWidth="1"/>
  </cols>
  <sheetData>
    <row r="1" spans="1:2" x14ac:dyDescent="0.35">
      <c r="A1" s="3" t="s">
        <v>502</v>
      </c>
      <c r="B1" s="4" t="s">
        <v>503</v>
      </c>
    </row>
    <row r="2" spans="1:2" x14ac:dyDescent="0.35">
      <c r="A2" s="3" t="s">
        <v>504</v>
      </c>
      <c r="B2" s="4" t="s">
        <v>505</v>
      </c>
    </row>
    <row r="3" spans="1:2" x14ac:dyDescent="0.35">
      <c r="A3" s="3" t="s">
        <v>506</v>
      </c>
      <c r="B3" s="4" t="s">
        <v>507</v>
      </c>
    </row>
    <row r="4" spans="1:2" x14ac:dyDescent="0.35">
      <c r="A4" s="3" t="s">
        <v>508</v>
      </c>
      <c r="B4" s="4" t="s">
        <v>509</v>
      </c>
    </row>
    <row r="5" spans="1:2" ht="29" x14ac:dyDescent="0.35">
      <c r="A5" s="3" t="s">
        <v>510</v>
      </c>
      <c r="B5" s="4" t="s">
        <v>511</v>
      </c>
    </row>
    <row r="6" spans="1:2" x14ac:dyDescent="0.35">
      <c r="A6" s="3" t="s">
        <v>512</v>
      </c>
      <c r="B6" s="4" t="s">
        <v>513</v>
      </c>
    </row>
    <row r="7" spans="1:2" ht="29" x14ac:dyDescent="0.35">
      <c r="A7" s="3" t="s">
        <v>514</v>
      </c>
      <c r="B7" s="4" t="s">
        <v>515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defaultRowHeight="14.5" x14ac:dyDescent="0.35"/>
  <cols>
    <col min="1" max="1" width="30" customWidth="1"/>
    <col min="2" max="2" width="48" customWidth="1"/>
    <col min="3" max="3" width="75" customWidth="1"/>
  </cols>
  <sheetData>
    <row r="1" spans="1:3" x14ac:dyDescent="0.35">
      <c r="A1" s="5" t="s">
        <v>516</v>
      </c>
      <c r="B1" s="5" t="s">
        <v>517</v>
      </c>
      <c r="C1" s="5" t="s">
        <v>518</v>
      </c>
    </row>
    <row r="2" spans="1:3" x14ac:dyDescent="0.35">
      <c r="A2" s="4" t="s">
        <v>0</v>
      </c>
      <c r="B2" s="4" t="s">
        <v>519</v>
      </c>
      <c r="C2" s="4" t="s">
        <v>520</v>
      </c>
    </row>
    <row r="3" spans="1:3" x14ac:dyDescent="0.35">
      <c r="A3" s="4" t="s">
        <v>1</v>
      </c>
      <c r="B3" s="4" t="s">
        <v>521</v>
      </c>
      <c r="C3" s="4" t="s">
        <v>522</v>
      </c>
    </row>
    <row r="4" spans="1:3" ht="29" x14ac:dyDescent="0.35">
      <c r="A4" s="4" t="s">
        <v>523</v>
      </c>
      <c r="B4" s="4" t="s">
        <v>524</v>
      </c>
      <c r="C4" s="4" t="s">
        <v>525</v>
      </c>
    </row>
    <row r="5" spans="1:3" x14ac:dyDescent="0.35">
      <c r="A5" s="4" t="s">
        <v>7</v>
      </c>
      <c r="B5" s="4" t="s">
        <v>526</v>
      </c>
      <c r="C5" s="4" t="s">
        <v>527</v>
      </c>
    </row>
    <row r="6" spans="1:3" x14ac:dyDescent="0.35">
      <c r="A6" s="4" t="s">
        <v>11</v>
      </c>
      <c r="B6" s="4" t="s">
        <v>528</v>
      </c>
      <c r="C6" s="4" t="s">
        <v>529</v>
      </c>
    </row>
    <row r="7" spans="1:3" x14ac:dyDescent="0.35">
      <c r="A7" s="4" t="s">
        <v>12</v>
      </c>
      <c r="B7" s="4" t="s">
        <v>530</v>
      </c>
      <c r="C7" s="4" t="s">
        <v>531</v>
      </c>
    </row>
    <row r="8" spans="1:3" x14ac:dyDescent="0.35">
      <c r="A8" s="4" t="s">
        <v>13</v>
      </c>
      <c r="B8" s="4" t="s">
        <v>532</v>
      </c>
      <c r="C8" s="4" t="s">
        <v>533</v>
      </c>
    </row>
    <row r="9" spans="1:3" x14ac:dyDescent="0.35">
      <c r="A9" s="4" t="s">
        <v>14</v>
      </c>
      <c r="B9" s="4" t="s">
        <v>534</v>
      </c>
      <c r="C9" s="4" t="s">
        <v>535</v>
      </c>
    </row>
    <row r="10" spans="1:3" x14ac:dyDescent="0.35">
      <c r="A10" s="4" t="s">
        <v>15</v>
      </c>
      <c r="B10" s="4" t="s">
        <v>536</v>
      </c>
      <c r="C10" s="4" t="s">
        <v>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Clean Data</vt:lpstr>
      <vt:lpstr>Project Brief</vt:lpstr>
      <vt:lpstr>Cleaning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TISSA FARADILA PERMATA SARI</cp:lastModifiedBy>
  <dcterms:created xsi:type="dcterms:W3CDTF">2026-09-18T22:25:34Z</dcterms:created>
  <dcterms:modified xsi:type="dcterms:W3CDTF">2026-09-19T00:04:25Z</dcterms:modified>
</cp:coreProperties>
</file>